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267045b6d4c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待报价" sheetId="1" r:id="Rd5aabd89fda44b8a"/>
    <x:sheet xmlns:r="http://schemas.openxmlformats.org/officeDocument/2006/relationships" name="柜体规格与来源" sheetId="2" r:id="R733647c4bfdf4c70"/>
    <x:sheet xmlns:r="http://schemas.openxmlformats.org/officeDocument/2006/relationships" name="设备与复核" sheetId="3" r:id="R03c8ddedd3384d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(#,##0.00);0.00"/>
    <x:numFmt numFmtId="201" formatCode="0.0%"/>
    <x:numFmt numFmtId="202" formatCode="0.000"/>
    <x:numFmt numFmtId="203" formatCode="0.0"/>
    <x:numFmt numFmtId="204" formatCode="0"/>
  </x:numFmts>
  <x:fonts count="8">
    <x:font>
      <x:sz val="11"/>
      <x:name val="Carlito"/>
    </x:font>
    <x:font>
      <x:sz val="10"/>
      <x:color rgb="FF28332D"/>
      <x:name val="Microsoft YaHei"/>
    </x:font>
    <x:font>
      <x:b/>
      <x:sz val="15"/>
      <x:color rgb="FF28332D"/>
      <x:name val="Microsoft YaHei"/>
    </x:font>
    <x:font>
      <x:i/>
      <x:sz val="10"/>
      <x:color rgb="FF667169"/>
      <x:name val="Microsoft YaHei"/>
    </x:font>
    <x:font>
      <x:sz val="10"/>
      <x:color rgb="FF735D2B"/>
      <x:name val="Microsoft YaHei"/>
    </x:font>
    <x:font>
      <x:b/>
      <x:sz val="10"/>
      <x:color rgb="FFFFFFFF"/>
      <x:name val="Microsoft YaHei"/>
    </x:font>
    <x:font>
      <x:sz val="10"/>
      <x:color rgb="FF164AA2"/>
      <x:name val="Microsoft YaHei"/>
    </x:font>
    <x:font>
      <x:b/>
      <x:sz val="12"/>
      <x:color rgb="FF28332D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475449"/>
      </x:patternFill>
    </x:fill>
    <x:fill>
      <x:patternFill patternType="solid">
        <x:fgColor rgb="FFF1F3EE"/>
      </x:patternFill>
    </x:fill>
    <x:fill>
      <x:patternFill patternType="solid">
        <x:fgColor rgb="FFFFF1CD"/>
      </x:patternFill>
    </x:fill>
  </x:fills>
  <x:borders count="2">
    <x:border/>
    <x:border>
      <x:bottom style="thin">
        <x:color rgb="FFD4D9D1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6" fillId="4" borderId="0" xfId="0" applyNumberFormat="1" applyFont="1" applyFill="1" applyBorder="1" applyAlignment="1">
      <x:alignment vertical="center"/>
    </x:xf>
    <x:xf numFmtId="204" fontId="6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9D642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a0606d49eb4a2f" /><Relationship Type="http://schemas.openxmlformats.org/officeDocument/2006/relationships/theme" Target="/xl/theme/theme1.xml" Id="R4001b53eb06b4159" /><Relationship Type="http://schemas.openxmlformats.org/officeDocument/2006/relationships/sharedStrings" Target="/xl/sharedStrings.xml" Id="Rd296002ee33f4984" /><Relationship Type="http://schemas.openxmlformats.org/officeDocument/2006/relationships/worksheet" Target="/xl/worksheets/sheet1.xml" Id="Rd5aabd89fda44b8a" /><Relationship Type="http://schemas.openxmlformats.org/officeDocument/2006/relationships/worksheet" Target="/xl/worksheets/sheet2.xml" Id="R733647c4bfdf4c70" /><Relationship Type="http://schemas.openxmlformats.org/officeDocument/2006/relationships/worksheet" Target="/xl/worksheets/sheet3.xml" Id="R03c8ddedd3384d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75449"/>
  </x:sheetPr>
  <x:sheetViews>
    <x:sheetView showGridLines="0" workbookViewId="0">
      <x:pane xSplit="2" ySplit="10" topLeftCell="C11" activePane="bottomRight" state="frozen"/>
    </x:sheetView>
  </x:sheetViews>
  <x:sheetFormatPr defaultRowHeight="15"/>
  <x:cols>
    <x:col min="1" max="1" width="21.8799991607666" hidden="0" customWidth="1"/>
    <x:col min="2" max="2" width="16.8799991607666" hidden="0" customWidth="1"/>
    <x:col min="3" max="3" width="30.6299991607666" hidden="0" customWidth="1"/>
    <x:col min="4" max="4" width="15" hidden="0" customWidth="1"/>
    <x:col min="5" max="5" width="11.880000114440918" hidden="0" customWidth="1"/>
    <x:col min="6" max="6" width="14" hidden="0" customWidth="1"/>
    <x:col min="7" max="7" width="14" hidden="0" customWidth="1"/>
    <x:col min="8" max="8" width="11.5" hidden="0" customWidth="1"/>
    <x:col min="9" max="9" width="14.5" hidden="0" customWidth="1"/>
    <x:col min="10" max="10" width="13.130000114440918" hidden="0" customWidth="1"/>
    <x:col min="11" max="11" width="19.3799991607666" hidden="0" customWidth="1"/>
    <x:col min="12" max="12" width="23.75" hidden="0" customWidth="1"/>
    <x:col min="13" max="13" width="51.25" hidden="0" customWidth="1"/>
    <x:col min="14" max="14" width="16.25" hidden="0" customWidth="1"/>
    <x:col min="15" max="15" width="2.75" hidden="0" customWidth="1"/>
    <x:col min="16" max="16" width="77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4" customHeight="1">
      <x:c r="A2" s="4" t="str">
        <x:v>工程量与待报价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27" customHeight="1">
      <x:c r="A3" s="6" t="str">
        <x:v>V12概念方案。模型尺寸用于讨论，实际举架、净尺寸和工程量仍待复测。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 ht="2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7" customHeight="1">
      <x:c r="A5" s="2" t="str">
        <x:v>计价项数</x:v>
      </x:c>
      <x:c r="B5" s="2" t="n">
        <x:v>57</x:v>
      </x:c>
      <x:c r="C5" s="2"/>
      <x:c r="D5" s="2" t="str">
        <x:v>已具备合价</x:v>
      </x:c>
      <x:c r="E5" s="2" t="n">
        <x:f>COUNT(I11:I67)</x:f>
        <x:v>0</x:v>
      </x:c>
      <x:c r="F5" s="2"/>
      <x:c r="G5" s="2" t="str">
        <x:v>已有报价小计（元）</x:v>
      </x:c>
      <x:c r="H5" s="2"/>
      <x:c r="I5" s="19" t="str">
        <x:f>IF(COUNT(I11:I67)=0,"",SUM(I11:I67))</x:f>
      </x:c>
      <x:c r="J5" s="2"/>
      <x:c r="K5" s="2"/>
      <x:c r="L5" s="2"/>
      <x:c r="M5" s="2"/>
      <x:c r="N5" s="2"/>
      <x:c r="O5" s="2"/>
      <x:c r="P5" s="2"/>
    </x:row>
    <x:row r="6" ht="27" customHeight="1">
      <x:c r="A6" s="2" t="str">
        <x:v>未具备合价</x:v>
      </x:c>
      <x:c r="B6" s="2" t="n">
        <x:f>B5-COUNT(I11:I67)-COUNTIFS(N11:N67,"含于其他项",L11:L67,"&lt;&gt;")</x:f>
        <x:v>57</x:v>
      </x:c>
      <x:c r="C6" s="2"/>
      <x:c r="D6" s="2" t="str">
        <x:v>清单报价状态</x:v>
      </x:c>
      <x:c r="E6" s="2" t="str">
        <x:f>IF(COUNT(I11:I67)=0,"未报价",IF(COUNT(I11:I67)+COUNTIFS(N11:N67,"含于其他项",L11:L67,"&lt;&gt;")=B5,"清单报价齐全","清单报价未齐"))</x:f>
        <x:v>未报价</x:v>
      </x:c>
      <x:c r="F6" s="2"/>
      <x:c r="G6" s="2" t="str">
        <x:v>本清单全部合价（元）</x:v>
      </x:c>
      <x:c r="H6" s="2"/>
      <x:c r="I6" s="19" t="str">
        <x:f>IF(AND(COUNT(I11:I67)&gt;0,COUNT(I11:I67)+COUNTIFS(N11:N67,"含于其他项",L11:L67,"&lt;&gt;")=B5),SUM(I11:I67),"")</x:f>
      </x:c>
      <x:c r="J6" s="2"/>
      <x:c r="K6" s="2"/>
      <x:c r="L6" s="2"/>
      <x:c r="M6" s="2"/>
      <x:c r="N6" s="2"/>
      <x:c r="O6" s="2"/>
      <x:c r="P6" s="2"/>
    </x:row>
    <x:row r="7" ht="27" customHeight="1">
      <x:c r="A7" s="7" t="str">
        <x:v>黄色待填报价量、含税单价及材料损耗率。报价归属先确认，含于整柜/设备的材料不可重复计价。</x:v>
      </x:c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</x:row>
    <x:row r="8" ht="27" customHeight="1">
      <x:c r="A8" s="7" t="str">
        <x:v>含于其他项须在报价依据写明所属编号。合价＝数量×〔材料单价×（1＋损耗率）＋人工单价〕。</x:v>
      </x:c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</x:row>
    <x:row r="9" ht="27" customHeight="1">
      <x:c r="A9" s="2" t="str">
        <x:v>本表合价仅覆盖列示清单，不等于全屋实际总预算。未实测或未入表施工项目需另列报价。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38" customHeight="1">
      <x:c r="A10" s="11" t="str">
        <x:v>编号</x:v>
      </x:c>
      <x:c r="B10" s="11" t="str">
        <x:v>房间</x:v>
      </x:c>
      <x:c r="C10" s="11" t="str">
        <x:v>项目</x:v>
      </x:c>
      <x:c r="D10" s="11" t="str">
        <x:v>计价单位</x:v>
      </x:c>
      <x:c r="E10" s="11" t="str">
        <x:v>方案/报价量</x:v>
      </x:c>
      <x:c r="F10" s="11" t="str">
        <x:v>材料单价
元（含税）</x:v>
      </x:c>
      <x:c r="G10" s="11" t="str">
        <x:v>人工单价
元（含税）</x:v>
      </x:c>
      <x:c r="H10" s="11" t="str">
        <x:v>材料损耗率</x:v>
      </x:c>
      <x:c r="I10" s="11" t="str">
        <x:v>合价
元（含税）</x:v>
      </x:c>
      <x:c r="J10" s="11" t="str">
        <x:v>报价状态</x:v>
      </x:c>
      <x:c r="K10" s="11" t="str">
        <x:v>品牌/型号</x:v>
      </x:c>
      <x:c r="L10" s="11" t="str">
        <x:v>报价依据/归入项</x:v>
      </x:c>
      <x:c r="M10" s="11" t="str">
        <x:v>数量口径/说明</x:v>
      </x:c>
      <x:c r="N10" s="11" t="str">
        <x:v>报价归属</x:v>
      </x:c>
      <x:c r="O10" s="2"/>
      <x:c r="P10" s="2" t="str">
        <x:v>清单来源</x:v>
      </x:c>
    </x:row>
    <x:row r="11" ht="43" customHeight="1">
      <x:c r="A11" s="2" t="str">
        <x:v>C03-low</x:v>
      </x:c>
      <x:c r="B11" s="2" t="str">
        <x:v>客厅</x:v>
      </x:c>
      <x:c r="C11" s="13" t="str">
        <x:v>电视连续白色低柜</x:v>
      </x:c>
      <x:c r="D11" s="13" t="str">
        <x:v>套（方案组）</x:v>
      </x:c>
      <x:c r="E11" s="17" t="n">
        <x:v>1</x:v>
      </x:c>
      <x:c r="F11" s="17"/>
      <x:c r="G11" s="17"/>
      <x:c r="H11" s="18"/>
      <x:c r="I11" s="19" t="str">
        <x:f>IF(AND(N11="单独计价",COUNT(E11:H11)=4),ROUND(E11*(F11*(1+H11)+G11),2),"")</x:f>
      </x:c>
      <x:c r="J11" s="2" t="str">
        <x:f>IF(N11="含于其他项",IF(L11="","待写归入项","已归入其他项"),IF(AND(N11="单独计价",COUNT(E11:H11)=4),"报价已填","待补齐"))</x:f>
        <x:v>待补齐</x:v>
      </x:c>
      <x:c r="K11" s="15"/>
      <x:c r="L11" s="15"/>
      <x:c r="M11" s="13" t="str">
        <x:v>每行1组仅是清单组数，不代表开料/五金件数；规格见对应工作表</x:v>
      </x:c>
      <x:c r="N11" s="15" t="str">
        <x:v>待确认</x:v>
      </x:c>
      <x:c r="O11" s="2"/>
      <x:c r="P11" s="2" t="str">
        <x:v>柜体与材料清单.json /cabinets/0</x:v>
      </x:c>
    </x:row>
    <x:row r="12" ht="43" customHeight="1">
      <x:c r="A12" s="12" t="str">
        <x:v>C03-tall</x:v>
      </x:c>
      <x:c r="B12" s="12" t="str">
        <x:v>客厅</x:v>
      </x:c>
      <x:c r="C12" s="14" t="str">
        <x:v>电视左侧白高柜与窄玻璃展示柜</x:v>
      </x:c>
      <x:c r="D12" s="14" t="str">
        <x:v>套（方案组）</x:v>
      </x:c>
      <x:c r="E12" s="17" t="n">
        <x:v>1</x:v>
      </x:c>
      <x:c r="F12" s="17"/>
      <x:c r="G12" s="17"/>
      <x:c r="H12" s="18"/>
      <x:c r="I12" s="20" t="str">
        <x:f>IF(AND(N12="单独计价",COUNT(E12:H12)=4),ROUND(E12*(F12*(1+H12)+G12),2),"")</x:f>
      </x:c>
      <x:c r="J12" s="12" t="str">
        <x:f>IF(N12="含于其他项",IF(L12="","待写归入项","已归入其他项"),IF(AND(N12="单独计价",COUNT(E12:H12)=4),"报价已填","待补齐"))</x:f>
        <x:v>待补齐</x:v>
      </x:c>
      <x:c r="K12" s="15"/>
      <x:c r="L12" s="15"/>
      <x:c r="M12" s="14" t="str">
        <x:v>每行1组仅是清单组数，不代表开料/五金件数；规格见对应工作表</x:v>
      </x:c>
      <x:c r="N12" s="15" t="str">
        <x:v>待确认</x:v>
      </x:c>
      <x:c r="O12" s="2"/>
      <x:c r="P12" s="2" t="str">
        <x:v>柜体与材料清单.json /cabinets/1</x:v>
      </x:c>
    </x:row>
    <x:row r="13" ht="43" customHeight="1">
      <x:c r="A13" s="2" t="str">
        <x:v>C02-sideboard</x:v>
      </x:c>
      <x:c r="B13" s="2" t="str">
        <x:v>餐厅</x:v>
      </x:c>
      <x:c r="C13" s="13" t="str">
        <x:v>东墙白柜胡桃中段餐边柜</x:v>
      </x:c>
      <x:c r="D13" s="13" t="str">
        <x:v>套（方案组）</x:v>
      </x:c>
      <x:c r="E13" s="17" t="n">
        <x:v>1</x:v>
      </x:c>
      <x:c r="F13" s="17"/>
      <x:c r="G13" s="17"/>
      <x:c r="H13" s="18"/>
      <x:c r="I13" s="19" t="str">
        <x:f>IF(AND(N13="单独计价",COUNT(E13:H13)=4),ROUND(E13*(F13*(1+H13)+G13),2),"")</x:f>
      </x:c>
      <x:c r="J13" s="2" t="str">
        <x:f>IF(N13="含于其他项",IF(L13="","待写归入项","已归入其他项"),IF(AND(N13="单独计价",COUNT(E13:H13)=4),"报价已填","待补齐"))</x:f>
        <x:v>待补齐</x:v>
      </x:c>
      <x:c r="K13" s="15"/>
      <x:c r="L13" s="15"/>
      <x:c r="M13" s="13" t="str">
        <x:v>每行1组仅是清单组数，不代表开料/五金件数；规格见对应工作表</x:v>
      </x:c>
      <x:c r="N13" s="15" t="str">
        <x:v>待确认</x:v>
      </x:c>
      <x:c r="O13" s="2"/>
      <x:c r="P13" s="2" t="str">
        <x:v>柜体与材料清单.json /cabinets/2</x:v>
      </x:c>
    </x:row>
    <x:row r="14" ht="43" customHeight="1">
      <x:c r="A14" s="12" t="str">
        <x:v>C12</x:v>
      </x:c>
      <x:c r="B14" s="12" t="str">
        <x:v>餐厅</x:v>
      </x:c>
      <x:c r="C14" s="14" t="str">
        <x:v>900mm对开门冰箱包柜</x:v>
      </x:c>
      <x:c r="D14" s="14" t="str">
        <x:v>套（方案组）</x:v>
      </x:c>
      <x:c r="E14" s="17" t="n">
        <x:v>1</x:v>
      </x:c>
      <x:c r="F14" s="17"/>
      <x:c r="G14" s="17"/>
      <x:c r="H14" s="18"/>
      <x:c r="I14" s="20" t="str">
        <x:f>IF(AND(N14="单独计价",COUNT(E14:H14)=4),ROUND(E14*(F14*(1+H14)+G14),2),"")</x:f>
      </x:c>
      <x:c r="J14" s="12" t="str">
        <x:f>IF(N14="含于其他项",IF(L14="","待写归入项","已归入其他项"),IF(AND(N14="单独计价",COUNT(E14:H14)=4),"报价已填","待补齐"))</x:f>
        <x:v>待补齐</x:v>
      </x:c>
      <x:c r="K14" s="15"/>
      <x:c r="L14" s="15"/>
      <x:c r="M14" s="14" t="str">
        <x:v>每行1组仅是清单组数，不代表开料/五金件数；规格见对应工作表</x:v>
      </x:c>
      <x:c r="N14" s="15" t="str">
        <x:v>待确认</x:v>
      </x:c>
      <x:c r="O14" s="2"/>
      <x:c r="P14" s="2" t="str">
        <x:v>柜体与材料清单.json /cabinets/3</x:v>
      </x:c>
    </x:row>
    <x:row r="15" ht="43" customHeight="1">
      <x:c r="A15" s="2" t="str">
        <x:v>C01-entry</x:v>
      </x:c>
      <x:c r="B15" s="2" t="str">
        <x:v>玄关</x:v>
      </x:c>
      <x:c r="C15" s="13" t="str">
        <x:v>入户挂衣、鞋柜及玄关开放龛组合</x:v>
      </x:c>
      <x:c r="D15" s="13" t="str">
        <x:v>套（方案组）</x:v>
      </x:c>
      <x:c r="E15" s="17" t="n">
        <x:v>1</x:v>
      </x:c>
      <x:c r="F15" s="17"/>
      <x:c r="G15" s="17"/>
      <x:c r="H15" s="18"/>
      <x:c r="I15" s="19" t="str">
        <x:f>IF(AND(N15="单独计价",COUNT(E15:H15)=4),ROUND(E15*(F15*(1+H15)+G15),2),"")</x:f>
      </x:c>
      <x:c r="J15" s="2" t="str">
        <x:f>IF(N15="含于其他项",IF(L15="","待写归入项","已归入其他项"),IF(AND(N15="单独计价",COUNT(E15:H15)=4),"报价已填","待补齐"))</x:f>
        <x:v>待补齐</x:v>
      </x:c>
      <x:c r="K15" s="15"/>
      <x:c r="L15" s="15"/>
      <x:c r="M15" s="13" t="str">
        <x:v>每行1组仅是清单组数，不代表开料/五金件数；规格见对应工作表</x:v>
      </x:c>
      <x:c r="N15" s="15" t="str">
        <x:v>待确认</x:v>
      </x:c>
      <x:c r="O15" s="2"/>
      <x:c r="P15" s="2" t="str">
        <x:v>柜体与材料清单.json /cabinets/4</x:v>
      </x:c>
    </x:row>
    <x:row r="16" ht="43" customHeight="1">
      <x:c r="A16" s="12" t="str">
        <x:v>C07</x:v>
      </x:c>
      <x:c r="B16" s="12" t="str">
        <x:v>厨房</x:v>
      </x:c>
      <x:c r="C16" s="14" t="str">
        <x:v>厨房西侧地柜</x:v>
      </x:c>
      <x:c r="D16" s="14" t="str">
        <x:v>套（方案组）</x:v>
      </x:c>
      <x:c r="E16" s="17" t="n">
        <x:v>1</x:v>
      </x:c>
      <x:c r="F16" s="17"/>
      <x:c r="G16" s="17"/>
      <x:c r="H16" s="18"/>
      <x:c r="I16" s="20" t="str">
        <x:f>IF(AND(N16="单独计价",COUNT(E16:H16)=4),ROUND(E16*(F16*(1+H16)+G16),2),"")</x:f>
      </x:c>
      <x:c r="J16" s="12" t="str">
        <x:f>IF(N16="含于其他项",IF(L16="","待写归入项","已归入其他项"),IF(AND(N16="单独计价",COUNT(E16:H16)=4),"报价已填","待补齐"))</x:f>
        <x:v>待补齐</x:v>
      </x:c>
      <x:c r="K16" s="15"/>
      <x:c r="L16" s="15"/>
      <x:c r="M16" s="14" t="str">
        <x:v>每行1组仅是清单组数，不代表开料/五金件数；规格见对应工作表</x:v>
      </x:c>
      <x:c r="N16" s="15" t="str">
        <x:v>待确认</x:v>
      </x:c>
      <x:c r="O16" s="2"/>
      <x:c r="P16" s="2" t="str">
        <x:v>柜体与材料清单.json /cabinets/5</x:v>
      </x:c>
    </x:row>
    <x:row r="17" ht="43" customHeight="1">
      <x:c r="A17" s="2" t="str">
        <x:v>C08</x:v>
      </x:c>
      <x:c r="B17" s="2" t="str">
        <x:v>厨房</x:v>
      </x:c>
      <x:c r="C17" s="13" t="str">
        <x:v>厨房北侧水槽地柜</x:v>
      </x:c>
      <x:c r="D17" s="13" t="str">
        <x:v>套（方案组）</x:v>
      </x:c>
      <x:c r="E17" s="17" t="n">
        <x:v>1</x:v>
      </x:c>
      <x:c r="F17" s="17"/>
      <x:c r="G17" s="17"/>
      <x:c r="H17" s="18"/>
      <x:c r="I17" s="19" t="str">
        <x:f>IF(AND(N17="单独计价",COUNT(E17:H17)=4),ROUND(E17*(F17*(1+H17)+G17),2),"")</x:f>
      </x:c>
      <x:c r="J17" s="2" t="str">
        <x:f>IF(N17="含于其他项",IF(L17="","待写归入项","已归入其他项"),IF(AND(N17="单独计价",COUNT(E17:H17)=4),"报价已填","待补齐"))</x:f>
        <x:v>待补齐</x:v>
      </x:c>
      <x:c r="K17" s="15"/>
      <x:c r="L17" s="15"/>
      <x:c r="M17" s="13" t="str">
        <x:v>每行1组仅是清单组数，不代表开料/五金件数；规格见对应工作表</x:v>
      </x:c>
      <x:c r="N17" s="15" t="str">
        <x:v>待确认</x:v>
      </x:c>
      <x:c r="O17" s="2"/>
      <x:c r="P17" s="2" t="str">
        <x:v>柜体与材料清单.json /cabinets/6</x:v>
      </x:c>
    </x:row>
    <x:row r="18" ht="43" customHeight="1">
      <x:c r="A18" s="12" t="str">
        <x:v>C09</x:v>
      </x:c>
      <x:c r="B18" s="12" t="str">
        <x:v>厨房</x:v>
      </x:c>
      <x:c r="C18" s="14" t="str">
        <x:v>厨房西侧吊柜</x:v>
      </x:c>
      <x:c r="D18" s="14" t="str">
        <x:v>套（方案组）</x:v>
      </x:c>
      <x:c r="E18" s="17" t="n">
        <x:v>1</x:v>
      </x:c>
      <x:c r="F18" s="17"/>
      <x:c r="G18" s="17"/>
      <x:c r="H18" s="18"/>
      <x:c r="I18" s="20" t="str">
        <x:f>IF(AND(N18="单独计价",COUNT(E18:H18)=4),ROUND(E18*(F18*(1+H18)+G18),2),"")</x:f>
      </x:c>
      <x:c r="J18" s="12" t="str">
        <x:f>IF(N18="含于其他项",IF(L18="","待写归入项","已归入其他项"),IF(AND(N18="单独计价",COUNT(E18:H18)=4),"报价已填","待补齐"))</x:f>
        <x:v>待补齐</x:v>
      </x:c>
      <x:c r="K18" s="15"/>
      <x:c r="L18" s="15"/>
      <x:c r="M18" s="14" t="str">
        <x:v>每行1组仅是清单组数，不代表开料/五金件数；规格见对应工作表</x:v>
      </x:c>
      <x:c r="N18" s="15" t="str">
        <x:v>待确认</x:v>
      </x:c>
      <x:c r="O18" s="2"/>
      <x:c r="P18" s="2" t="str">
        <x:v>柜体与材料清单.json /cabinets/7</x:v>
      </x:c>
    </x:row>
    <x:row r="19" ht="43" customHeight="1">
      <x:c r="A19" s="2" t="str">
        <x:v>C13</x:v>
      </x:c>
      <x:c r="B19" s="2" t="str">
        <x:v>厨房</x:v>
      </x:c>
      <x:c r="C19" s="13" t="str">
        <x:v>厨房东返地柜，三面U形连续柜</x:v>
      </x:c>
      <x:c r="D19" s="13" t="str">
        <x:v>套（方案组）</x:v>
      </x:c>
      <x:c r="E19" s="17" t="n">
        <x:v>1</x:v>
      </x:c>
      <x:c r="F19" s="17"/>
      <x:c r="G19" s="17"/>
      <x:c r="H19" s="18"/>
      <x:c r="I19" s="19" t="str">
        <x:f>IF(AND(N19="单独计价",COUNT(E19:H19)=4),ROUND(E19*(F19*(1+H19)+G19),2),"")</x:f>
      </x:c>
      <x:c r="J19" s="2" t="str">
        <x:f>IF(N19="含于其他项",IF(L19="","待写归入项","已归入其他项"),IF(AND(N19="单独计价",COUNT(E19:H19)=4),"报价已填","待补齐"))</x:f>
        <x:v>待补齐</x:v>
      </x:c>
      <x:c r="K19" s="15"/>
      <x:c r="L19" s="15"/>
      <x:c r="M19" s="13" t="str">
        <x:v>每行1组仅是清单组数，不代表开料/五金件数；规格见对应工作表</x:v>
      </x:c>
      <x:c r="N19" s="15" t="str">
        <x:v>待确认</x:v>
      </x:c>
      <x:c r="O19" s="2"/>
      <x:c r="P19" s="2" t="str">
        <x:v>柜体与材料清单.json /cabinets/8</x:v>
      </x:c>
    </x:row>
    <x:row r="20" ht="43" customHeight="1">
      <x:c r="A20" s="12" t="str">
        <x:v>S01-main</x:v>
      </x:c>
      <x:c r="B20" s="12" t="str">
        <x:v>书房A/衣帽间</x:v>
      </x:c>
      <x:c r="C20" s="14" t="str">
        <x:v>书房衣帽间L柜主段</x:v>
      </x:c>
      <x:c r="D20" s="14" t="str">
        <x:v>套（方案组）</x:v>
      </x:c>
      <x:c r="E20" s="17" t="n">
        <x:v>1</x:v>
      </x:c>
      <x:c r="F20" s="17"/>
      <x:c r="G20" s="17"/>
      <x:c r="H20" s="18"/>
      <x:c r="I20" s="20" t="str">
        <x:f>IF(AND(N20="单独计价",COUNT(E20:H20)=4),ROUND(E20*(F20*(1+H20)+G20),2),"")</x:f>
      </x:c>
      <x:c r="J20" s="12" t="str">
        <x:f>IF(N20="含于其他项",IF(L20="","待写归入项","已归入其他项"),IF(AND(N20="单独计价",COUNT(E20:H20)=4),"报价已填","待补齐"))</x:f>
        <x:v>待补齐</x:v>
      </x:c>
      <x:c r="K20" s="15"/>
      <x:c r="L20" s="15"/>
      <x:c r="M20" s="14" t="str">
        <x:v>每行1组仅是清单组数，不代表开料/五金件数；规格见对应工作表</x:v>
      </x:c>
      <x:c r="N20" s="15" t="str">
        <x:v>待确认</x:v>
      </x:c>
      <x:c r="O20" s="2"/>
      <x:c r="P20" s="2" t="str">
        <x:v>柜体与材料清单.json /cabinets/9</x:v>
      </x:c>
    </x:row>
    <x:row r="21" ht="43" customHeight="1">
      <x:c r="A21" s="2" t="str">
        <x:v>S01-return</x:v>
      </x:c>
      <x:c r="B21" s="2" t="str">
        <x:v>书房A/衣帽间</x:v>
      </x:c>
      <x:c r="C21" s="13" t="str">
        <x:v>书房衣帽间L柜返段</x:v>
      </x:c>
      <x:c r="D21" s="13" t="str">
        <x:v>套（方案组）</x:v>
      </x:c>
      <x:c r="E21" s="17" t="n">
        <x:v>1</x:v>
      </x:c>
      <x:c r="F21" s="17"/>
      <x:c r="G21" s="17"/>
      <x:c r="H21" s="18"/>
      <x:c r="I21" s="19" t="str">
        <x:f>IF(AND(N21="单独计价",COUNT(E21:H21)=4),ROUND(E21*(F21*(1+H21)+G21),2),"")</x:f>
      </x:c>
      <x:c r="J21" s="2" t="str">
        <x:f>IF(N21="含于其他项",IF(L21="","待写归入项","已归入其他项"),IF(AND(N21="单独计价",COUNT(E21:H21)=4),"报价已填","待补齐"))</x:f>
        <x:v>待补齐</x:v>
      </x:c>
      <x:c r="K21" s="15"/>
      <x:c r="L21" s="15"/>
      <x:c r="M21" s="13" t="str">
        <x:v>每行1组仅是清单组数，不代表开料/五金件数；规格见对应工作表</x:v>
      </x:c>
      <x:c r="N21" s="15" t="str">
        <x:v>待确认</x:v>
      </x:c>
      <x:c r="O21" s="2"/>
      <x:c r="P21" s="2" t="str">
        <x:v>柜体与材料清单.json /cabinets/10</x:v>
      </x:c>
    </x:row>
    <x:row r="22" ht="43" customHeight="1">
      <x:c r="A22" s="12" t="str">
        <x:v>S02</x:v>
      </x:c>
      <x:c r="B22" s="12" t="str">
        <x:v>书房A/衣帽间</x:v>
      </x:c>
      <x:c r="C22" s="14" t="str">
        <x:v>双人长书桌</x:v>
      </x:c>
      <x:c r="D22" s="14" t="str">
        <x:v>套（方案组）</x:v>
      </x:c>
      <x:c r="E22" s="17" t="n">
        <x:v>1</x:v>
      </x:c>
      <x:c r="F22" s="17"/>
      <x:c r="G22" s="17"/>
      <x:c r="H22" s="18"/>
      <x:c r="I22" s="20" t="str">
        <x:f>IF(AND(N22="单独计价",COUNT(E22:H22)=4),ROUND(E22*(F22*(1+H22)+G22),2),"")</x:f>
      </x:c>
      <x:c r="J22" s="12" t="str">
        <x:f>IF(N22="含于其他项",IF(L22="","待写归入项","已归入其他项"),IF(AND(N22="单独计价",COUNT(E22:H22)=4),"报价已填","待补齐"))</x:f>
        <x:v>待补齐</x:v>
      </x:c>
      <x:c r="K22" s="15"/>
      <x:c r="L22" s="15"/>
      <x:c r="M22" s="14" t="str">
        <x:v>每行1组仅是清单组数，不代表开料/五金件数；规格见对应工作表</x:v>
      </x:c>
      <x:c r="N22" s="15" t="str">
        <x:v>待确认</x:v>
      </x:c>
      <x:c r="O22" s="2"/>
      <x:c r="P22" s="2" t="str">
        <x:v>柜体与材料清单.json /cabinets/11</x:v>
      </x:c>
    </x:row>
    <x:row r="23" ht="43" customHeight="1">
      <x:c r="A23" s="2" t="str">
        <x:v>S03</x:v>
      </x:c>
      <x:c r="B23" s="2" t="str">
        <x:v>书房A/衣帽间</x:v>
      </x:c>
      <x:c r="C23" s="13" t="str">
        <x:v>窗下转角书桌</x:v>
      </x:c>
      <x:c r="D23" s="13" t="str">
        <x:v>套（方案组）</x:v>
      </x:c>
      <x:c r="E23" s="17" t="n">
        <x:v>1</x:v>
      </x:c>
      <x:c r="F23" s="17"/>
      <x:c r="G23" s="17"/>
      <x:c r="H23" s="18"/>
      <x:c r="I23" s="19" t="str">
        <x:f>IF(AND(N23="单独计价",COUNT(E23:H23)=4),ROUND(E23*(F23*(1+H23)+G23),2),"")</x:f>
      </x:c>
      <x:c r="J23" s="2" t="str">
        <x:f>IF(N23="含于其他项",IF(L23="","待写归入项","已归入其他项"),IF(AND(N23="单独计价",COUNT(E23:H23)=4),"报价已填","待补齐"))</x:f>
        <x:v>待补齐</x:v>
      </x:c>
      <x:c r="K23" s="15"/>
      <x:c r="L23" s="15"/>
      <x:c r="M23" s="13" t="str">
        <x:v>每行1组仅是清单组数，不代表开料/五金件数；规格见对应工作表</x:v>
      </x:c>
      <x:c r="N23" s="15" t="str">
        <x:v>待确认</x:v>
      </x:c>
      <x:c r="O23" s="2"/>
      <x:c r="P23" s="2" t="str">
        <x:v>柜体与材料清单.json /cabinets/12</x:v>
      </x:c>
    </x:row>
    <x:row r="24" ht="43" customHeight="1">
      <x:c r="A24" s="12" t="str">
        <x:v>S04</x:v>
      </x:c>
      <x:c r="B24" s="12" t="str">
        <x:v>书房A/衣帽间</x:v>
      </x:c>
      <x:c r="C24" s="14" t="str">
        <x:v>书房白色上柜</x:v>
      </x:c>
      <x:c r="D24" s="14" t="str">
        <x:v>套（方案组）</x:v>
      </x:c>
      <x:c r="E24" s="17" t="n">
        <x:v>1</x:v>
      </x:c>
      <x:c r="F24" s="17"/>
      <x:c r="G24" s="17"/>
      <x:c r="H24" s="18"/>
      <x:c r="I24" s="20" t="str">
        <x:f>IF(AND(N24="单独计价",COUNT(E24:H24)=4),ROUND(E24*(F24*(1+H24)+G24),2),"")</x:f>
      </x:c>
      <x:c r="J24" s="12" t="str">
        <x:f>IF(N24="含于其他项",IF(L24="","待写归入项","已归入其他项"),IF(AND(N24="单独计价",COUNT(E24:H24)=4),"报价已填","待补齐"))</x:f>
        <x:v>待补齐</x:v>
      </x:c>
      <x:c r="K24" s="15"/>
      <x:c r="L24" s="15"/>
      <x:c r="M24" s="14" t="str">
        <x:v>每行1组仅是清单组数，不代表开料/五金件数；规格见对应工作表</x:v>
      </x:c>
      <x:c r="N24" s="15" t="str">
        <x:v>待确认</x:v>
      </x:c>
      <x:c r="O24" s="2"/>
      <x:c r="P24" s="2" t="str">
        <x:v>柜体与材料清单.json /cabinets/13</x:v>
      </x:c>
    </x:row>
    <x:row r="25" ht="43" customHeight="1">
      <x:c r="A25" s="2" t="str">
        <x:v>S05</x:v>
      </x:c>
      <x:c r="B25" s="2" t="str">
        <x:v>书房A/衣帽间</x:v>
      </x:c>
      <x:c r="C25" s="13" t="str">
        <x:v>书房玻璃展示柜</x:v>
      </x:c>
      <x:c r="D25" s="13" t="str">
        <x:v>套（方案组）</x:v>
      </x:c>
      <x:c r="E25" s="17" t="n">
        <x:v>1</x:v>
      </x:c>
      <x:c r="F25" s="17"/>
      <x:c r="G25" s="17"/>
      <x:c r="H25" s="18"/>
      <x:c r="I25" s="19" t="str">
        <x:f>IF(AND(N25="单独计价",COUNT(E25:H25)=4),ROUND(E25*(F25*(1+H25)+G25),2),"")</x:f>
      </x:c>
      <x:c r="J25" s="2" t="str">
        <x:f>IF(N25="含于其他项",IF(L25="","待写归入项","已归入其他项"),IF(AND(N25="单独计价",COUNT(E25:H25)=4),"报价已填","待补齐"))</x:f>
        <x:v>待补齐</x:v>
      </x:c>
      <x:c r="K25" s="15"/>
      <x:c r="L25" s="15"/>
      <x:c r="M25" s="13" t="str">
        <x:v>每行1组仅是清单组数，不代表开料/五金件数；规格见对应工作表</x:v>
      </x:c>
      <x:c r="N25" s="15" t="str">
        <x:v>待确认</x:v>
      </x:c>
      <x:c r="O25" s="2"/>
      <x:c r="P25" s="2" t="str">
        <x:v>柜体与材料清单.json /cabinets/14</x:v>
      </x:c>
    </x:row>
    <x:row r="26" ht="43" customHeight="1">
      <x:c r="A26" s="12" t="str">
        <x:v>C05-main</x:v>
      </x:c>
      <x:c r="B26" s="12" t="str">
        <x:v>南次卧B</x:v>
      </x:c>
      <x:c r="C26" s="14" t="str">
        <x:v>南次卧B L衣柜主段</x:v>
      </x:c>
      <x:c r="D26" s="14" t="str">
        <x:v>套（方案组）</x:v>
      </x:c>
      <x:c r="E26" s="17" t="n">
        <x:v>1</x:v>
      </x:c>
      <x:c r="F26" s="17"/>
      <x:c r="G26" s="17"/>
      <x:c r="H26" s="18"/>
      <x:c r="I26" s="20" t="str">
        <x:f>IF(AND(N26="单独计价",COUNT(E26:H26)=4),ROUND(E26*(F26*(1+H26)+G26),2),"")</x:f>
      </x:c>
      <x:c r="J26" s="12" t="str">
        <x:f>IF(N26="含于其他项",IF(L26="","待写归入项","已归入其他项"),IF(AND(N26="单独计价",COUNT(E26:H26)=4),"报价已填","待补齐"))</x:f>
        <x:v>待补齐</x:v>
      </x:c>
      <x:c r="K26" s="15"/>
      <x:c r="L26" s="15"/>
      <x:c r="M26" s="14" t="str">
        <x:v>每行1组仅是清单组数，不代表开料/五金件数；规格见对应工作表</x:v>
      </x:c>
      <x:c r="N26" s="15" t="str">
        <x:v>待确认</x:v>
      </x:c>
      <x:c r="O26" s="2"/>
      <x:c r="P26" s="2" t="str">
        <x:v>柜体与材料清单.json /cabinets/15</x:v>
      </x:c>
    </x:row>
    <x:row r="27" ht="43" customHeight="1">
      <x:c r="A27" s="2" t="str">
        <x:v>C05-north_return</x:v>
      </x:c>
      <x:c r="B27" s="2" t="str">
        <x:v>南次卧B</x:v>
      </x:c>
      <x:c r="C27" s="13" t="str">
        <x:v>南次卧B L衣柜北返段</x:v>
      </x:c>
      <x:c r="D27" s="13" t="str">
        <x:v>套（方案组）</x:v>
      </x:c>
      <x:c r="E27" s="17" t="n">
        <x:v>1</x:v>
      </x:c>
      <x:c r="F27" s="17"/>
      <x:c r="G27" s="17"/>
      <x:c r="H27" s="18"/>
      <x:c r="I27" s="19" t="str">
        <x:f>IF(AND(N27="单独计价",COUNT(E27:H27)=4),ROUND(E27*(F27*(1+H27)+G27),2),"")</x:f>
      </x:c>
      <x:c r="J27" s="2" t="str">
        <x:f>IF(N27="含于其他项",IF(L27="","待写归入项","已归入其他项"),IF(AND(N27="单独计价",COUNT(E27:H27)=4),"报价已填","待补齐"))</x:f>
        <x:v>待补齐</x:v>
      </x:c>
      <x:c r="K27" s="15"/>
      <x:c r="L27" s="15"/>
      <x:c r="M27" s="13" t="str">
        <x:v>每行1组仅是清单组数，不代表开料/五金件数；规格见对应工作表</x:v>
      </x:c>
      <x:c r="N27" s="15" t="str">
        <x:v>待确认</x:v>
      </x:c>
      <x:c r="O27" s="2"/>
      <x:c r="P27" s="2" t="str">
        <x:v>柜体与材料清单.json /cabinets/16</x:v>
      </x:c>
    </x:row>
    <x:row r="28" ht="43" customHeight="1">
      <x:c r="A28" s="12" t="str">
        <x:v>B01-south_window_low</x:v>
      </x:c>
      <x:c r="B28" s="12" t="str">
        <x:v>南次卧B</x:v>
      </x:c>
      <x:c r="C28" s="14" t="str">
        <x:v>南次卧B南窗下白柜</x:v>
      </x:c>
      <x:c r="D28" s="14" t="str">
        <x:v>套（方案组）</x:v>
      </x:c>
      <x:c r="E28" s="17" t="n">
        <x:v>1</x:v>
      </x:c>
      <x:c r="F28" s="17"/>
      <x:c r="G28" s="17"/>
      <x:c r="H28" s="18"/>
      <x:c r="I28" s="20" t="str">
        <x:f>IF(AND(N28="单独计价",COUNT(E28:H28)=4),ROUND(E28*(F28*(1+H28)+G28),2),"")</x:f>
      </x:c>
      <x:c r="J28" s="12" t="str">
        <x:f>IF(N28="含于其他项",IF(L28="","待写归入项","已归入其他项"),IF(AND(N28="单独计价",COUNT(E28:H28)=4),"报价已填","待补齐"))</x:f>
        <x:v>待补齐</x:v>
      </x:c>
      <x:c r="K28" s="15"/>
      <x:c r="L28" s="15"/>
      <x:c r="M28" s="14" t="str">
        <x:v>每行1组仅是清单组数，不代表开料/五金件数；规格见对应工作表</x:v>
      </x:c>
      <x:c r="N28" s="15" t="str">
        <x:v>待确认</x:v>
      </x:c>
      <x:c r="O28" s="2"/>
      <x:c r="P28" s="2" t="str">
        <x:v>柜体与材料清单.json /cabinets/17</x:v>
      </x:c>
    </x:row>
    <x:row r="29" ht="43" customHeight="1">
      <x:c r="A29" s="2" t="str">
        <x:v>C06-main</x:v>
      </x:c>
      <x:c r="B29" s="2" t="str">
        <x:v>南主卧C</x:v>
      </x:c>
      <x:c r="C29" s="13" t="str">
        <x:v>南主卧C连续L柜主段</x:v>
      </x:c>
      <x:c r="D29" s="13" t="str">
        <x:v>套（方案组）</x:v>
      </x:c>
      <x:c r="E29" s="17" t="n">
        <x:v>1</x:v>
      </x:c>
      <x:c r="F29" s="17"/>
      <x:c r="G29" s="17"/>
      <x:c r="H29" s="18"/>
      <x:c r="I29" s="19" t="str">
        <x:f>IF(AND(N29="单独计价",COUNT(E29:H29)=4),ROUND(E29*(F29*(1+H29)+G29),2),"")</x:f>
      </x:c>
      <x:c r="J29" s="2" t="str">
        <x:f>IF(N29="含于其他项",IF(L29="","待写归入项","已归入其他项"),IF(AND(N29="单独计价",COUNT(E29:H29)=4),"报价已填","待补齐"))</x:f>
        <x:v>待补齐</x:v>
      </x:c>
      <x:c r="K29" s="15"/>
      <x:c r="L29" s="15"/>
      <x:c r="M29" s="13" t="str">
        <x:v>每行1组仅是清单组数，不代表开料/五金件数；规格见对应工作表</x:v>
      </x:c>
      <x:c r="N29" s="15" t="str">
        <x:v>待确认</x:v>
      </x:c>
      <x:c r="O29" s="2"/>
      <x:c r="P29" s="2" t="str">
        <x:v>柜体与材料清单.json /cabinets/18</x:v>
      </x:c>
    </x:row>
    <x:row r="30" ht="43" customHeight="1">
      <x:c r="A30" s="12" t="str">
        <x:v>C06-east_return</x:v>
      </x:c>
      <x:c r="B30" s="12" t="str">
        <x:v>南主卧C</x:v>
      </x:c>
      <x:c r="C30" s="14" t="str">
        <x:v>南主卧C连续L柜东返段</x:v>
      </x:c>
      <x:c r="D30" s="14" t="str">
        <x:v>套（方案组）</x:v>
      </x:c>
      <x:c r="E30" s="17" t="n">
        <x:v>1</x:v>
      </x:c>
      <x:c r="F30" s="17"/>
      <x:c r="G30" s="17"/>
      <x:c r="H30" s="18"/>
      <x:c r="I30" s="20" t="str">
        <x:f>IF(AND(N30="单独计价",COUNT(E30:H30)=4),ROUND(E30*(F30*(1+H30)+G30),2),"")</x:f>
      </x:c>
      <x:c r="J30" s="12" t="str">
        <x:f>IF(N30="含于其他项",IF(L30="","待写归入项","已归入其他项"),IF(AND(N30="单独计价",COUNT(E30:H30)=4),"报价已填","待补齐"))</x:f>
        <x:v>待补齐</x:v>
      </x:c>
      <x:c r="K30" s="15"/>
      <x:c r="L30" s="15"/>
      <x:c r="M30" s="14" t="str">
        <x:v>每行1组仅是清单组数，不代表开料/五金件数；规格见对应工作表</x:v>
      </x:c>
      <x:c r="N30" s="15" t="str">
        <x:v>待确认</x:v>
      </x:c>
      <x:c r="O30" s="2"/>
      <x:c r="P30" s="2" t="str">
        <x:v>柜体与材料清单.json /cabinets/19</x:v>
      </x:c>
    </x:row>
    <x:row r="31" ht="43" customHeight="1">
      <x:c r="A31" s="2" t="str">
        <x:v>M01</x:v>
      </x:c>
      <x:c r="B31" s="2" t="str">
        <x:v>南主卧C</x:v>
      </x:c>
      <x:c r="C31" s="13" t="str">
        <x:v>主卧C窗下白门坐榻柜</x:v>
      </x:c>
      <x:c r="D31" s="13" t="str">
        <x:v>套（方案组）</x:v>
      </x:c>
      <x:c r="E31" s="17" t="n">
        <x:v>1</x:v>
      </x:c>
      <x:c r="F31" s="17"/>
      <x:c r="G31" s="17"/>
      <x:c r="H31" s="18"/>
      <x:c r="I31" s="19" t="str">
        <x:f>IF(AND(N31="单独计价",COUNT(E31:H31)=4),ROUND(E31*(F31*(1+H31)+G31),2),"")</x:f>
      </x:c>
      <x:c r="J31" s="2" t="str">
        <x:f>IF(N31="含于其他项",IF(L31="","待写归入项","已归入其他项"),IF(AND(N31="单独计价",COUNT(E31:H31)=4),"报价已填","待补齐"))</x:f>
        <x:v>待补齐</x:v>
      </x:c>
      <x:c r="K31" s="15"/>
      <x:c r="L31" s="15"/>
      <x:c r="M31" s="13" t="str">
        <x:v>每行1组仅是清单组数，不代表开料/五金件数；规格见对应工作表</x:v>
      </x:c>
      <x:c r="N31" s="15" t="str">
        <x:v>待确认</x:v>
      </x:c>
      <x:c r="O31" s="2"/>
      <x:c r="P31" s="2" t="str">
        <x:v>柜体与材料清单.json /cabinets/20</x:v>
      </x:c>
    </x:row>
    <x:row r="32" ht="43" customHeight="1">
      <x:c r="A32" s="12" t="str">
        <x:v>M02</x:v>
      </x:c>
      <x:c r="B32" s="12" t="str">
        <x:v>南主卧C</x:v>
      </x:c>
      <x:c r="C32" s="14" t="str">
        <x:v>主卧C悬浮梳妆台</x:v>
      </x:c>
      <x:c r="D32" s="14" t="str">
        <x:v>套（方案组）</x:v>
      </x:c>
      <x:c r="E32" s="17" t="n">
        <x:v>1</x:v>
      </x:c>
      <x:c r="F32" s="17"/>
      <x:c r="G32" s="17"/>
      <x:c r="H32" s="18"/>
      <x:c r="I32" s="20" t="str">
        <x:f>IF(AND(N32="单独计价",COUNT(E32:H32)=4),ROUND(E32*(F32*(1+H32)+G32),2),"")</x:f>
      </x:c>
      <x:c r="J32" s="12" t="str">
        <x:f>IF(N32="含于其他项",IF(L32="","待写归入项","已归入其他项"),IF(AND(N32="单独计价",COUNT(E32:H32)=4),"报价已填","待补齐"))</x:f>
        <x:v>待补齐</x:v>
      </x:c>
      <x:c r="K32" s="15"/>
      <x:c r="L32" s="15"/>
      <x:c r="M32" s="14" t="str">
        <x:v>每行1组仅是清单组数，不代表开料/五金件数；规格见对应工作表</x:v>
      </x:c>
      <x:c r="N32" s="15" t="str">
        <x:v>待确认</x:v>
      </x:c>
      <x:c r="O32" s="2"/>
      <x:c r="P32" s="2" t="str">
        <x:v>柜体与材料清单.json /cabinets/21</x:v>
      </x:c>
    </x:row>
    <x:row r="33" ht="43" customHeight="1">
      <x:c r="A33" s="2" t="str">
        <x:v>M03</x:v>
      </x:c>
      <x:c r="B33" s="2" t="str">
        <x:v>南主卧C</x:v>
      </x:c>
      <x:c r="C33" s="13" t="str">
        <x:v>主卧C窗边开放窄格</x:v>
      </x:c>
      <x:c r="D33" s="13" t="str">
        <x:v>套（方案组）</x:v>
      </x:c>
      <x:c r="E33" s="17" t="n">
        <x:v>1</x:v>
      </x:c>
      <x:c r="F33" s="17"/>
      <x:c r="G33" s="17"/>
      <x:c r="H33" s="18"/>
      <x:c r="I33" s="19" t="str">
        <x:f>IF(AND(N33="单独计价",COUNT(E33:H33)=4),ROUND(E33*(F33*(1+H33)+G33),2),"")</x:f>
      </x:c>
      <x:c r="J33" s="2" t="str">
        <x:f>IF(N33="含于其他项",IF(L33="","待写归入项","已归入其他项"),IF(AND(N33="单独计价",COUNT(E33:H33)=4),"报价已填","待补齐"))</x:f>
        <x:v>待补齐</x:v>
      </x:c>
      <x:c r="K33" s="15"/>
      <x:c r="L33" s="15"/>
      <x:c r="M33" s="13" t="str">
        <x:v>每行1组仅是清单组数，不代表开料/五金件数；规格见对应工作表</x:v>
      </x:c>
      <x:c r="N33" s="15" t="str">
        <x:v>待确认</x:v>
      </x:c>
      <x:c r="O33" s="2"/>
      <x:c r="P33" s="2" t="str">
        <x:v>柜体与材料清单.json /cabinets/22</x:v>
      </x:c>
    </x:row>
    <x:row r="34" ht="43" customHeight="1">
      <x:c r="A34" s="12" t="str">
        <x:v>L-tower</x:v>
      </x:c>
      <x:c r="B34" s="12" t="str">
        <x:v>卫生间A</x:v>
      </x:c>
      <x:c r="C34" s="14" t="str">
        <x:v>洗衣柜左侧白色窄高柜</x:v>
      </x:c>
      <x:c r="D34" s="14" t="str">
        <x:v>套（方案组）</x:v>
      </x:c>
      <x:c r="E34" s="17" t="n">
        <x:v>1</x:v>
      </x:c>
      <x:c r="F34" s="17"/>
      <x:c r="G34" s="17"/>
      <x:c r="H34" s="18"/>
      <x:c r="I34" s="20" t="str">
        <x:f>IF(AND(N34="单独计价",COUNT(E34:H34)=4),ROUND(E34*(F34*(1+H34)+G34),2),"")</x:f>
      </x:c>
      <x:c r="J34" s="12" t="str">
        <x:f>IF(N34="含于其他项",IF(L34="","待写归入项","已归入其他项"),IF(AND(N34="单独计价",COUNT(E34:H34)=4),"报价已填","待补齐"))</x:f>
        <x:v>待补齐</x:v>
      </x:c>
      <x:c r="K34" s="15"/>
      <x:c r="L34" s="15"/>
      <x:c r="M34" s="14" t="str">
        <x:v>每行1组仅是清单组数，不代表开料/五金件数；规格见对应工作表</x:v>
      </x:c>
      <x:c r="N34" s="15" t="str">
        <x:v>待确认</x:v>
      </x:c>
      <x:c r="O34" s="2"/>
      <x:c r="P34" s="2" t="str">
        <x:v>柜体与材料清单.json /cabinets/23</x:v>
      </x:c>
    </x:row>
    <x:row r="35" ht="43" customHeight="1">
      <x:c r="A35" s="2" t="str">
        <x:v>L01-machine</x:v>
      </x:c>
      <x:c r="B35" s="2" t="str">
        <x:v>卫生间A</x:v>
      </x:c>
      <x:c r="C35" s="13" t="str">
        <x:v>单台三筒洗衣机开放背板包柜</x:v>
      </x:c>
      <x:c r="D35" s="13" t="str">
        <x:v>套（方案组）</x:v>
      </x:c>
      <x:c r="E35" s="17" t="n">
        <x:v>1</x:v>
      </x:c>
      <x:c r="F35" s="17"/>
      <x:c r="G35" s="17"/>
      <x:c r="H35" s="18"/>
      <x:c r="I35" s="19" t="str">
        <x:f>IF(AND(N35="单独计价",COUNT(E35:H35)=4),ROUND(E35*(F35*(1+H35)+G35),2),"")</x:f>
      </x:c>
      <x:c r="J35" s="2" t="str">
        <x:f>IF(N35="含于其他项",IF(L35="","待写归入项","已归入其他项"),IF(AND(N35="单独计价",COUNT(E35:H35)=4),"报价已填","待补齐"))</x:f>
        <x:v>待补齐</x:v>
      </x:c>
      <x:c r="K35" s="15"/>
      <x:c r="L35" s="15"/>
      <x:c r="M35" s="13" t="str">
        <x:v>每行1组仅是清单组数，不代表开料/五金件数；规格见对应工作表</x:v>
      </x:c>
      <x:c r="N35" s="15" t="str">
        <x:v>待确认</x:v>
      </x:c>
      <x:c r="O35" s="2"/>
      <x:c r="P35" s="2" t="str">
        <x:v>柜体与材料清单.json /cabinets/24</x:v>
      </x:c>
    </x:row>
    <x:row r="36" ht="43" customHeight="1">
      <x:c r="A36" s="12" t="str">
        <x:v>L-right</x:v>
      </x:c>
      <x:c r="B36" s="12" t="str">
        <x:v>卫生间A</x:v>
      </x:c>
      <x:c r="C36" s="14" t="str">
        <x:v>洗衣柜右侧白色储物柜</x:v>
      </x:c>
      <x:c r="D36" s="14" t="str">
        <x:v>套（方案组）</x:v>
      </x:c>
      <x:c r="E36" s="17" t="n">
        <x:v>1</x:v>
      </x:c>
      <x:c r="F36" s="17"/>
      <x:c r="G36" s="17"/>
      <x:c r="H36" s="18"/>
      <x:c r="I36" s="20" t="str">
        <x:f>IF(AND(N36="单独计价",COUNT(E36:H36)=4),ROUND(E36*(F36*(1+H36)+G36),2),"")</x:f>
      </x:c>
      <x:c r="J36" s="12" t="str">
        <x:f>IF(N36="含于其他项",IF(L36="","待写归入项","已归入其他项"),IF(AND(N36="单独计价",COUNT(E36:H36)=4),"报价已填","待补齐"))</x:f>
        <x:v>待补齐</x:v>
      </x:c>
      <x:c r="K36" s="15"/>
      <x:c r="L36" s="15"/>
      <x:c r="M36" s="14" t="str">
        <x:v>每行1组仅是清单组数，不代表开料/五金件数；规格见对应工作表</x:v>
      </x:c>
      <x:c r="N36" s="15" t="str">
        <x:v>待确认</x:v>
      </x:c>
      <x:c r="O36" s="2"/>
      <x:c r="P36" s="2" t="str">
        <x:v>柜体与材料清单.json /cabinets/25</x:v>
      </x:c>
    </x:row>
    <x:row r="37" ht="43" customHeight="1">
      <x:c r="A37" s="2" t="str">
        <x:v>L-upper</x:v>
      </x:c>
      <x:c r="B37" s="2" t="str">
        <x:v>卫生间A</x:v>
      </x:c>
      <x:c r="C37" s="13" t="str">
        <x:v>洗衣区四扇白色吊柜、开放格及小横杆</x:v>
      </x:c>
      <x:c r="D37" s="13" t="str">
        <x:v>套（方案组）</x:v>
      </x:c>
      <x:c r="E37" s="17" t="n">
        <x:v>1</x:v>
      </x:c>
      <x:c r="F37" s="17"/>
      <x:c r="G37" s="17"/>
      <x:c r="H37" s="18"/>
      <x:c r="I37" s="19" t="str">
        <x:f>IF(AND(N37="单独计价",COUNT(E37:H37)=4),ROUND(E37*(F37*(1+H37)+G37),2),"")</x:f>
      </x:c>
      <x:c r="J37" s="2" t="str">
        <x:f>IF(N37="含于其他项",IF(L37="","待写归入项","已归入其他项"),IF(AND(N37="单独计价",COUNT(E37:H37)=4),"报价已填","待补齐"))</x:f>
        <x:v>待补齐</x:v>
      </x:c>
      <x:c r="K37" s="15"/>
      <x:c r="L37" s="15"/>
      <x:c r="M37" s="13" t="str">
        <x:v>每行1组仅是清单组数，不代表开料/五金件数；规格见对应工作表</x:v>
      </x:c>
      <x:c r="N37" s="15" t="str">
        <x:v>待确认</x:v>
      </x:c>
      <x:c r="O37" s="2"/>
      <x:c r="P37" s="2" t="str">
        <x:v>柜体与材料清单.json /cabinets/26</x:v>
      </x:c>
    </x:row>
    <x:row r="38" ht="43" customHeight="1">
      <x:c r="A38" s="12" t="str">
        <x:v>C10</x:v>
      </x:c>
      <x:c r="B38" s="12" t="str">
        <x:v>卫生间A</x:v>
      </x:c>
      <x:c r="C38" s="14" t="str">
        <x:v>卫生间A西侧白色盆柜</x:v>
      </x:c>
      <x:c r="D38" s="14" t="str">
        <x:v>套（方案组）</x:v>
      </x:c>
      <x:c r="E38" s="17" t="n">
        <x:v>1</x:v>
      </x:c>
      <x:c r="F38" s="17"/>
      <x:c r="G38" s="17"/>
      <x:c r="H38" s="18"/>
      <x:c r="I38" s="20" t="str">
        <x:f>IF(AND(N38="单独计价",COUNT(E38:H38)=4),ROUND(E38*(F38*(1+H38)+G38),2),"")</x:f>
      </x:c>
      <x:c r="J38" s="12" t="str">
        <x:f>IF(N38="含于其他项",IF(L38="","待写归入项","已归入其他项"),IF(AND(N38="单独计价",COUNT(E38:H38)=4),"报价已填","待补齐"))</x:f>
        <x:v>待补齐</x:v>
      </x:c>
      <x:c r="K38" s="15"/>
      <x:c r="L38" s="15"/>
      <x:c r="M38" s="14" t="str">
        <x:v>每行1组仅是清单组数，不代表开料/五金件数；规格见对应工作表</x:v>
      </x:c>
      <x:c r="N38" s="15" t="str">
        <x:v>待确认</x:v>
      </x:c>
      <x:c r="O38" s="2"/>
      <x:c r="P38" s="2" t="str">
        <x:v>柜体与材料清单.json /cabinets/27</x:v>
      </x:c>
    </x:row>
    <x:row r="39" ht="43" customHeight="1">
      <x:c r="A39" s="2" t="str">
        <x:v>C11</x:v>
      </x:c>
      <x:c r="B39" s="2" t="str">
        <x:v>卫生间A</x:v>
      </x:c>
      <x:c r="C39" s="13" t="str">
        <x:v>卫生间A西侧白框镜柜</x:v>
      </x:c>
      <x:c r="D39" s="13" t="str">
        <x:v>套（方案组）</x:v>
      </x:c>
      <x:c r="E39" s="17" t="n">
        <x:v>1</x:v>
      </x:c>
      <x:c r="F39" s="17"/>
      <x:c r="G39" s="17"/>
      <x:c r="H39" s="18"/>
      <x:c r="I39" s="19" t="str">
        <x:f>IF(AND(N39="单独计价",COUNT(E39:H39)=4),ROUND(E39*(F39*(1+H39)+G39),2),"")</x:f>
      </x:c>
      <x:c r="J39" s="2" t="str">
        <x:f>IF(N39="含于其他项",IF(L39="","待写归入项","已归入其他项"),IF(AND(N39="单独计价",COUNT(E39:H39)=4),"报价已填","待补齐"))</x:f>
        <x:v>待补齐</x:v>
      </x:c>
      <x:c r="K39" s="15"/>
      <x:c r="L39" s="15"/>
      <x:c r="M39" s="13" t="str">
        <x:v>每行1组仅是清单组数，不代表开料/五金件数；规格见对应工作表</x:v>
      </x:c>
      <x:c r="N39" s="15" t="str">
        <x:v>待确认</x:v>
      </x:c>
      <x:c r="O39" s="2"/>
      <x:c r="P39" s="2" t="str">
        <x:v>柜体与材料清单.json /cabinets/28</x:v>
      </x:c>
    </x:row>
    <x:row r="40" ht="43" customHeight="1">
      <x:c r="A40" s="12" t="str">
        <x:v>C14</x:v>
      </x:c>
      <x:c r="B40" s="12" t="str">
        <x:v>卫生间B</x:v>
      </x:c>
      <x:c r="C40" s="14" t="str">
        <x:v>卫生间B东侧白色盆柜</x:v>
      </x:c>
      <x:c r="D40" s="14" t="str">
        <x:v>套（方案组）</x:v>
      </x:c>
      <x:c r="E40" s="17" t="n">
        <x:v>1</x:v>
      </x:c>
      <x:c r="F40" s="17"/>
      <x:c r="G40" s="17"/>
      <x:c r="H40" s="18"/>
      <x:c r="I40" s="20" t="str">
        <x:f>IF(AND(N40="单独计价",COUNT(E40:H40)=4),ROUND(E40*(F40*(1+H40)+G40),2),"")</x:f>
      </x:c>
      <x:c r="J40" s="12" t="str">
        <x:f>IF(N40="含于其他项",IF(L40="","待写归入项","已归入其他项"),IF(AND(N40="单独计价",COUNT(E40:H40)=4),"报价已填","待补齐"))</x:f>
        <x:v>待补齐</x:v>
      </x:c>
      <x:c r="K40" s="15"/>
      <x:c r="L40" s="15"/>
      <x:c r="M40" s="14" t="str">
        <x:v>每行1组仅是清单组数，不代表开料/五金件数；规格见对应工作表</x:v>
      </x:c>
      <x:c r="N40" s="15" t="str">
        <x:v>待确认</x:v>
      </x:c>
      <x:c r="O40" s="2"/>
      <x:c r="P40" s="2" t="str">
        <x:v>柜体与材料清单.json /cabinets/29</x:v>
      </x:c>
    </x:row>
    <x:row r="41" ht="43" customHeight="1">
      <x:c r="A41" s="2" t="str">
        <x:v>C15</x:v>
      </x:c>
      <x:c r="B41" s="2" t="str">
        <x:v>卫生间B</x:v>
      </x:c>
      <x:c r="C41" s="13" t="str">
        <x:v>卫生间B东侧白框镜柜</x:v>
      </x:c>
      <x:c r="D41" s="13" t="str">
        <x:v>套（方案组）</x:v>
      </x:c>
      <x:c r="E41" s="17" t="n">
        <x:v>1</x:v>
      </x:c>
      <x:c r="F41" s="17"/>
      <x:c r="G41" s="17"/>
      <x:c r="H41" s="18"/>
      <x:c r="I41" s="19" t="str">
        <x:f>IF(AND(N41="单独计价",COUNT(E41:H41)=4),ROUND(E41*(F41*(1+H41)+G41),2),"")</x:f>
      </x:c>
      <x:c r="J41" s="2" t="str">
        <x:f>IF(N41="含于其他项",IF(L41="","待写归入项","已归入其他项"),IF(AND(N41="单独计价",COUNT(E41:H41)=4),"报价已填","待补齐"))</x:f>
        <x:v>待补齐</x:v>
      </x:c>
      <x:c r="K41" s="15"/>
      <x:c r="L41" s="15"/>
      <x:c r="M41" s="13" t="str">
        <x:v>每行1组仅是清单组数，不代表开料/五金件数；规格见对应工作表</x:v>
      </x:c>
      <x:c r="N41" s="15" t="str">
        <x:v>待确认</x:v>
      </x:c>
      <x:c r="O41" s="2"/>
      <x:c r="P41" s="2" t="str">
        <x:v>柜体与材料清单.json /cabinets/30</x:v>
      </x:c>
    </x:row>
    <x:row r="42" ht="43" customHeight="1">
      <x:c r="A42" s="12" t="str">
        <x:v>MAT-floor</x:v>
      </x:c>
      <x:c r="B42" s="12" t="str">
        <x:v>全屋/指定范围</x:v>
      </x:c>
      <x:c r="C42" s="14" t="str">
        <x:v>原图2胡桃木色地板外观</x:v>
      </x:c>
      <x:c r="D42" s="14" t="str">
        <x:v>待定</x:v>
      </x:c>
      <x:c r="E42" s="17"/>
      <x:c r="F42" s="17"/>
      <x:c r="G42" s="17"/>
      <x:c r="H42" s="18"/>
      <x:c r="I42" s="20" t="str">
        <x:f>IF(AND(N42="单独计价",COUNT(E42:H42)=4),ROUND(E42*(F42*(1+H42)+G42),2),"")</x:f>
      </x:c>
      <x:c r="J42" s="12" t="str">
        <x:f>IF(N42="含于其他项",IF(L42="","待写归入项","已归入其他项"),IF(AND(N42="单独计价",COUNT(E42:H42)=4),"报价已填","待补齐"))</x:f>
        <x:v>待补齐</x:v>
      </x:c>
      <x:c r="K42" s="15"/>
      <x:c r="L42" s="15"/>
      <x:c r="M42" s="14" t="str">
        <x:v>V12保持既有派生贴图字节；木种、品牌、真实板规格和采购工程量未知，180×1200mm仅模型视觉提案。</x:v>
      </x:c>
      <x:c r="N42" s="15" t="str">
        <x:v>待确认</x:v>
      </x:c>
      <x:c r="O42" s="2"/>
      <x:c r="P42" s="2" t="str">
        <x:v>柜体与材料清单.json /materials/0</x:v>
      </x:c>
    </x:row>
    <x:row r="43" ht="43" customHeight="1">
      <x:c r="A43" s="2" t="str">
        <x:v>MAT-wall</x:v>
      </x:c>
      <x:c r="B43" s="2" t="str">
        <x:v>全屋/指定范围</x:v>
      </x:c>
      <x:c r="C43" s="13" t="str">
        <x:v>暖白乳胶漆墙面</x:v>
      </x:c>
      <x:c r="D43" s="13" t="str">
        <x:v>待定</x:v>
      </x:c>
      <x:c r="E43" s="17"/>
      <x:c r="F43" s="17"/>
      <x:c r="G43" s="17"/>
      <x:c r="H43" s="18"/>
      <x:c r="I43" s="19" t="str">
        <x:f>IF(AND(N43="单独计价",COUNT(E43:H43)=4),ROUND(E43*(F43*(1+H43)+G43),2),"")</x:f>
      </x:c>
      <x:c r="J43" s="2" t="str">
        <x:f>IF(N43="含于其他项",IF(L43="","待写归入项","已归入其他项"),IF(AND(N43="单独计价",COUNT(E43:H43)=4),"报价已填","待补齐"))</x:f>
        <x:v>待补齐</x:v>
      </x:c>
      <x:c r="K43" s="15"/>
      <x:c r="L43" s="15"/>
      <x:c r="M43" s="13" t="str">
        <x:v>#F1EEE7是屏幕预览，不是品牌色号；须实物色卡和现场试刷。</x:v>
      </x:c>
      <x:c r="N43" s="15" t="str">
        <x:v>待确认</x:v>
      </x:c>
      <x:c r="O43" s="2"/>
      <x:c r="P43" s="2" t="str">
        <x:v>柜体与材料清单.json /materials/1</x:v>
      </x:c>
    </x:row>
    <x:row r="44" ht="43" customHeight="1">
      <x:c r="A44" s="12" t="str">
        <x:v>MAT-ceiling</x:v>
      </x:c>
      <x:c r="B44" s="12" t="str">
        <x:v>全屋/指定范围</x:v>
      </x:c>
      <x:c r="C44" s="14" t="str">
        <x:v>白色顶面及双眼皮边顶</x:v>
      </x:c>
      <x:c r="D44" s="14" t="str">
        <x:v>待定</x:v>
      </x:c>
      <x:c r="E44" s="17"/>
      <x:c r="F44" s="17"/>
      <x:c r="G44" s="17"/>
      <x:c r="H44" s="18"/>
      <x:c r="I44" s="20" t="str">
        <x:f>IF(AND(N44="单独计价",COUNT(E44:H44)=4),ROUND(E44*(F44*(1+H44)+G44),2),"")</x:f>
      </x:c>
      <x:c r="J44" s="12" t="str">
        <x:f>IF(N44="含于其他项",IF(L44="","待写归入项","已归入其他项"),IF(AND(N44="单独计价",COUNT(E44:H44)=4),"报价已填","待补齐"))</x:f>
        <x:v>待补齐</x:v>
      </x:c>
      <x:c r="K44" s="15"/>
      <x:c r="L44" s="15"/>
      <x:c r="M44" s="14" t="str">
        <x:v>旧3m及2820/2860mm边顶Z值只为继承模型比例；真实举架未知，不能按这些值下单。</x:v>
      </x:c>
      <x:c r="N44" s="15" t="str">
        <x:v>待确认</x:v>
      </x:c>
      <x:c r="O44" s="2"/>
      <x:c r="P44" s="2" t="str">
        <x:v>柜体与材料清单.json /materials/2</x:v>
      </x:c>
    </x:row>
    <x:row r="45" ht="43" customHeight="1">
      <x:c r="A45" s="2" t="str">
        <x:v>MAT-white</x:v>
      </x:c>
      <x:c r="B45" s="2" t="str">
        <x:v>全屋/指定范围</x:v>
      </x:c>
      <x:c r="C45" s="13" t="str">
        <x:v>白色哑光柜身与柜门</x:v>
      </x:c>
      <x:c r="D45" s="13" t="str">
        <x:v>待定</x:v>
      </x:c>
      <x:c r="E45" s="17"/>
      <x:c r="F45" s="17"/>
      <x:c r="G45" s="17"/>
      <x:c r="H45" s="18"/>
      <x:c r="I45" s="19" t="str">
        <x:f>IF(AND(N45="单独计价",COUNT(E45:H45)=4),ROUND(E45*(F45*(1+H45)+G45),2),"")</x:f>
      </x:c>
      <x:c r="J45" s="2" t="str">
        <x:f>IF(N45="含于其他项",IF(L45="","待写归入项","已归入其他项"),IF(AND(N45="单独计价",COUNT(E45:H45)=4),"报价已填","待补齐"))</x:f>
        <x:v>待补齐</x:v>
      </x:c>
      <x:c r="K45" s="15"/>
      <x:c r="L45" s="15"/>
      <x:c r="M45" s="13" t="str"/>
      <x:c r="N45" s="15" t="str">
        <x:v>待确认</x:v>
      </x:c>
      <x:c r="O45" s="2"/>
      <x:c r="P45" s="2" t="str">
        <x:v>柜体与材料清单.json /materials/3</x:v>
      </x:c>
    </x:row>
    <x:row r="46" ht="43" customHeight="1">
      <x:c r="A46" s="12" t="str">
        <x:v>MAT-walnut</x:v>
      </x:c>
      <x:c r="B46" s="12" t="str">
        <x:v>全屋/指定范围</x:v>
      </x:c>
      <x:c r="C46" s="14" t="str">
        <x:v>局部胡桃色饰面</x:v>
      </x:c>
      <x:c r="D46" s="14" t="str">
        <x:v>待定</x:v>
      </x:c>
      <x:c r="E46" s="17"/>
      <x:c r="F46" s="17"/>
      <x:c r="G46" s="17"/>
      <x:c r="H46" s="18"/>
      <x:c r="I46" s="20" t="str">
        <x:f>IF(AND(N46="单独计价",COUNT(E46:H46)=4),ROUND(E46*(F46*(1+H46)+G46),2),"")</x:f>
      </x:c>
      <x:c r="J46" s="12" t="str">
        <x:f>IF(N46="含于其他项",IF(L46="","待写归入项","已归入其他项"),IF(AND(N46="单独计价",COUNT(E46:H46)=4),"报价已填","待补齐"))</x:f>
        <x:v>待补齐</x:v>
      </x:c>
      <x:c r="K46" s="15"/>
      <x:c r="L46" s="15"/>
      <x:c r="M46" s="14" t="str">
        <x:v>胡桃色表示外观方向，不指定实木、木皮或板材种类。</x:v>
      </x:c>
      <x:c r="N46" s="15" t="str">
        <x:v>待确认</x:v>
      </x:c>
      <x:c r="O46" s="2"/>
      <x:c r="P46" s="2" t="str">
        <x:v>柜体与材料清单.json /materials/4</x:v>
      </x:c>
    </x:row>
    <x:row r="47" ht="43" customHeight="1">
      <x:c r="A47" s="2" t="str">
        <x:v>MAT-TV-slat</x:v>
      </x:c>
      <x:c r="B47" s="2" t="str">
        <x:v>客厅</x:v>
      </x:c>
      <x:c r="C47" s="13" t="str">
        <x:v>电视右侧胡桃色竖格栅</x:v>
      </x:c>
      <x:c r="D47" s="13" t="str">
        <x:v>待定</x:v>
      </x:c>
      <x:c r="E47" s="17"/>
      <x:c r="F47" s="17"/>
      <x:c r="G47" s="17"/>
      <x:c r="H47" s="18"/>
      <x:c r="I47" s="19" t="str">
        <x:f>IF(AND(N47="单独计价",COUNT(E47:H47)=4),ROUND(E47*(F47*(1+H47)+G47),2),"")</x:f>
      </x:c>
      <x:c r="J47" s="2" t="str">
        <x:f>IF(N47="含于其他项",IF(L47="","待写归入项","已归入其他项"),IF(AND(N47="单独计价",COUNT(E47:H47)=4),"报价已填","待补齐"))</x:f>
        <x:v>待补齐</x:v>
      </x:c>
      <x:c r="K47" s="15"/>
      <x:c r="L47" s="15"/>
      <x:c r="M47" s="13" t="str"/>
      <x:c r="N47" s="15" t="str">
        <x:v>待确认</x:v>
      </x:c>
      <x:c r="O47" s="2"/>
      <x:c r="P47" s="2" t="str">
        <x:v>柜体与材料清单.json /materials/5</x:v>
      </x:c>
    </x:row>
    <x:row r="48" ht="43" customHeight="1">
      <x:c r="A48" s="12" t="str">
        <x:v>MAT-glass</x:v>
      </x:c>
      <x:c r="B48" s="12" t="str">
        <x:v>客厅、餐厅、书房A/衣帽间</x:v>
      </x:c>
      <x:c r="C48" s="14" t="str">
        <x:v>茶灰玻璃展示门及层板</x:v>
      </x:c>
      <x:c r="D48" s="14" t="str">
        <x:v>待定</x:v>
      </x:c>
      <x:c r="E48" s="17"/>
      <x:c r="F48" s="17"/>
      <x:c r="G48" s="17"/>
      <x:c r="H48" s="18"/>
      <x:c r="I48" s="20" t="str">
        <x:f>IF(AND(N48="单独计价",COUNT(E48:H48)=4),ROUND(E48*(F48*(1+H48)+G48),2),"")</x:f>
      </x:c>
      <x:c r="J48" s="12" t="str">
        <x:f>IF(N48="含于其他项",IF(L48="","待写归入项","已归入其他项"),IF(AND(N48="单独计价",COUNT(E48:H48)=4),"报价已填","待补齐"))</x:f>
        <x:v>待补齐</x:v>
      </x:c>
      <x:c r="K48" s="15"/>
      <x:c r="L48" s="15"/>
      <x:c r="M48" s="14" t="str">
        <x:v>玻璃厚度、安全类别、铰链和灯带槽尚未选型。</x:v>
      </x:c>
      <x:c r="N48" s="15" t="str">
        <x:v>待确认</x:v>
      </x:c>
      <x:c r="O48" s="2"/>
      <x:c r="P48" s="2" t="str">
        <x:v>柜体与材料清单.json /materials/6</x:v>
      </x:c>
    </x:row>
    <x:row r="49" ht="43" customHeight="1">
      <x:c r="A49" s="2" t="str">
        <x:v>MAT-curtain</x:v>
      </x:c>
      <x:c r="B49" s="2" t="str">
        <x:v>全屋/指定范围</x:v>
      </x:c>
      <x:c r="C49" s="13" t="str">
        <x:v>暖咖纯色窗帘</x:v>
      </x:c>
      <x:c r="D49" s="13" t="str">
        <x:v>待定</x:v>
      </x:c>
      <x:c r="E49" s="17"/>
      <x:c r="F49" s="17"/>
      <x:c r="G49" s="17"/>
      <x:c r="H49" s="18"/>
      <x:c r="I49" s="19" t="str">
        <x:f>IF(AND(N49="单独计价",COUNT(E49:H49)=4),ROUND(E49*(F49*(1+H49)+G49),2),"")</x:f>
      </x:c>
      <x:c r="J49" s="2" t="str">
        <x:f>IF(N49="含于其他项",IF(L49="","待写归入项","已归入其他项"),IF(AND(N49="单独计价",COUNT(E49:H49)=4),"报价已填","待补齐"))</x:f>
        <x:v>待补齐</x:v>
      </x:c>
      <x:c r="K49" s="15"/>
      <x:c r="L49" s="15"/>
      <x:c r="M49" s="13" t="str">
        <x:v>色号为屏幕外观；遮光率、帘宽、高及轨道型式须实测和选样。</x:v>
      </x:c>
      <x:c r="N49" s="15" t="str">
        <x:v>待确认</x:v>
      </x:c>
      <x:c r="O49" s="2"/>
      <x:c r="P49" s="2" t="str">
        <x:v>柜体与材料清单.json /materials/7</x:v>
      </x:c>
    </x:row>
    <x:row r="50" ht="43" customHeight="1">
      <x:c r="A50" s="12" t="str">
        <x:v>MAT-kitchen-bathB</x:v>
      </x:c>
      <x:c r="B50" s="12" t="str">
        <x:v>厨房、卫生间B</x:v>
      </x:c>
      <x:c r="C50" s="14" t="str">
        <x:v>湿区砖及金色美缝提案</x:v>
      </x:c>
      <x:c r="D50" s="14" t="str">
        <x:v>待定</x:v>
      </x:c>
      <x:c r="E50" s="17"/>
      <x:c r="F50" s="17"/>
      <x:c r="G50" s="17"/>
      <x:c r="H50" s="18"/>
      <x:c r="I50" s="20" t="str">
        <x:f>IF(AND(N50="单独计价",COUNT(E50:H50)=4),ROUND(E50*(F50*(1+H50)+G50),2),"")</x:f>
      </x:c>
      <x:c r="J50" s="12" t="str">
        <x:f>IF(N50="含于其他项",IF(L50="","待写归入项","已归入其他项"),IF(AND(N50="单独计价",COUNT(E50:H50)=4),"报价已填","待补齐"))</x:f>
        <x:v>待补齐</x:v>
      </x:c>
      <x:c r="K50" s="15"/>
      <x:c r="L50" s="15"/>
      <x:c r="M50" s="14" t="str">
        <x:v>600×600mm、3mm缝仅视觉提案；原缝清理和实际美缝剂施工条件须专业现场复核。</x:v>
      </x:c>
      <x:c r="N50" s="15" t="str">
        <x:v>待确认</x:v>
      </x:c>
      <x:c r="O50" s="2"/>
      <x:c r="P50" s="2" t="str">
        <x:v>柜体与材料清单.json /materials/8</x:v>
      </x:c>
    </x:row>
    <x:row r="51" ht="43" customHeight="1">
      <x:c r="A51" s="2" t="str">
        <x:v>MAT-bathA</x:v>
      </x:c>
      <x:c r="B51" s="2" t="str">
        <x:v>卫生间A</x:v>
      </x:c>
      <x:c r="C51" s="13" t="str">
        <x:v>卫生间A浅暖灰砖外观</x:v>
      </x:c>
      <x:c r="D51" s="13" t="str">
        <x:v>待定</x:v>
      </x:c>
      <x:c r="E51" s="17"/>
      <x:c r="F51" s="17"/>
      <x:c r="G51" s="17"/>
      <x:c r="H51" s="18"/>
      <x:c r="I51" s="19" t="str">
        <x:f>IF(AND(N51="单独计价",COUNT(E51:H51)=4),ROUND(E51*(F51*(1+H51)+G51),2),"")</x:f>
      </x:c>
      <x:c r="J51" s="2" t="str">
        <x:f>IF(N51="含于其他项",IF(L51="","待写归入项","已归入其他项"),IF(AND(N51="单独计价",COUNT(E51:H51)=4),"报价已填","待补齐"))</x:f>
        <x:v>待补齐</x:v>
      </x:c>
      <x:c r="K51" s="15"/>
      <x:c r="L51" s="15"/>
      <x:c r="M51" s="13" t="str">
        <x:v>防滑等级、真实砖尺寸和材质型号未知，粗糙外观不等于防滑认证。</x:v>
      </x:c>
      <x:c r="N51" s="15" t="str">
        <x:v>待确认</x:v>
      </x:c>
      <x:c r="O51" s="2"/>
      <x:c r="P51" s="2" t="str">
        <x:v>柜体与材料清单.json /materials/9</x:v>
      </x:c>
    </x:row>
    <x:row r="52" ht="43" customHeight="1">
      <x:c r="A52" s="12" t="str">
        <x:v>MAT-lighting</x:v>
      </x:c>
      <x:c r="B52" s="12" t="str">
        <x:v>全屋/指定范围</x:v>
      </x:c>
      <x:c r="C52" s="14" t="str">
        <x:v>简约灯具与局部暖灯带</x:v>
      </x:c>
      <x:c r="D52" s="14" t="str">
        <x:v>待定</x:v>
      </x:c>
      <x:c r="E52" s="17"/>
      <x:c r="F52" s="17"/>
      <x:c r="G52" s="17"/>
      <x:c r="H52" s="18"/>
      <x:c r="I52" s="20" t="str">
        <x:f>IF(AND(N52="单独计价",COUNT(E52:H52)=4),ROUND(E52*(F52*(1+H52)+G52),2),"")</x:f>
      </x:c>
      <x:c r="J52" s="12" t="str">
        <x:f>IF(N52="含于其他项",IF(L52="","待写归入项","已归入其他项"),IF(AND(N52="单独计价",COUNT(E52:H52)=4),"报价已填","待补齐"))</x:f>
        <x:v>待补齐</x:v>
      </x:c>
      <x:c r="K52" s="15"/>
      <x:c r="L52" s="15"/>
      <x:c r="M52" s="14" t="str">
        <x:v>3000K只是洗衣区灯带视觉标签，不代表全屋灯光参数、照度或电气施工设计。</x:v>
      </x:c>
      <x:c r="N52" s="15" t="str">
        <x:v>待确认</x:v>
      </x:c>
      <x:c r="O52" s="2"/>
      <x:c r="P52" s="2" t="str">
        <x:v>柜体与材料清单.json /materials/10</x:v>
      </x:c>
    </x:row>
    <x:row r="53" ht="43" customHeight="1">
      <x:c r="A53" s="2" t="str">
        <x:v>MAT-basins</x:v>
      </x:c>
      <x:c r="B53" s="2" t="str">
        <x:v>卫生间A、卫生间B</x:v>
      </x:c>
      <x:c r="C53" s="13" t="str">
        <x:v>两个洗漱盆及柜盆接口</x:v>
      </x:c>
      <x:c r="D53" s="13" t="str">
        <x:v>待定</x:v>
      </x:c>
      <x:c r="E53" s="17"/>
      <x:c r="F53" s="17"/>
      <x:c r="G53" s="17"/>
      <x:c r="H53" s="18"/>
      <x:c r="I53" s="19" t="str">
        <x:f>IF(AND(N53="单独计价",COUNT(E53:H53)=4),ROUND(E53*(F53*(1+H53)+G53),2),"")</x:f>
      </x:c>
      <x:c r="J53" s="2" t="str">
        <x:f>IF(N53="含于其他项",IF(L53="","待写归入项","已归入其他项"),IF(AND(N53="单独计价",COUNT(E53:H53)=4),"报价已填","待补齐"))</x:f>
        <x:v>待补齐</x:v>
      </x:c>
      <x:c r="K53" s="15"/>
      <x:c r="L53" s="15"/>
      <x:c r="M53" s="13" t="str">
        <x:v>品牌、型号、盆开孔、下水、龙头孔及防水收口未定。</x:v>
      </x:c>
      <x:c r="N53" s="15" t="str">
        <x:v>待确认</x:v>
      </x:c>
      <x:c r="O53" s="2"/>
      <x:c r="P53" s="2" t="str">
        <x:v>柜体与材料清单.json /materials/11</x:v>
      </x:c>
    </x:row>
    <x:row r="54" ht="43" customHeight="1">
      <x:c r="A54" s="12" t="str">
        <x:v>AP01</x:v>
      </x:c>
      <x:c r="B54" s="12" t="str">
        <x:v>餐厅</x:v>
      </x:c>
      <x:c r="C54" s="14" t="str">
        <x:v>左右对开门冰箱</x:v>
      </x:c>
      <x:c r="D54" s="14" t="str">
        <x:v>台</x:v>
      </x:c>
      <x:c r="E54" s="17"/>
      <x:c r="F54" s="17"/>
      <x:c r="G54" s="17"/>
      <x:c r="H54" s="18"/>
      <x:c r="I54" s="20" t="str">
        <x:f>IF(AND(N54="单独计价",COUNT(E54:H54)=4),ROUND(E54*(F54*(1+H54)+G54),2),"")</x:f>
      </x:c>
      <x:c r="J54" s="12" t="str">
        <x:f>IF(N54="含于其他项",IF(L54="","待写归入项","已归入其他项"),IF(AND(N54="单独计价",COUNT(E54:H54)=4),"报价已填","待补齐"))</x:f>
        <x:v>待补齐</x:v>
      </x:c>
      <x:c r="K54" s="15"/>
      <x:c r="L54" s="15"/>
      <x:c r="M54" s="14" t="str">
        <x:v>仅为设备方案项；采购数量、安装和配件待核</x:v>
      </x:c>
      <x:c r="N54" s="15" t="str">
        <x:v>待确认</x:v>
      </x:c>
      <x:c r="O54" s="2"/>
      <x:c r="P54" s="2" t="str">
        <x:v>柜体与材料清单.json /appliances/0</x:v>
      </x:c>
    </x:row>
    <x:row r="55" ht="43" customHeight="1">
      <x:c r="A55" s="2" t="str">
        <x:v>AP02</x:v>
      </x:c>
      <x:c r="B55" s="2" t="str">
        <x:v>厨房</x:v>
      </x:c>
      <x:c r="C55" s="13" t="str">
        <x:v>嵌入式灶具</x:v>
      </x:c>
      <x:c r="D55" s="13" t="str">
        <x:v>台</x:v>
      </x:c>
      <x:c r="E55" s="17"/>
      <x:c r="F55" s="17"/>
      <x:c r="G55" s="17"/>
      <x:c r="H55" s="18"/>
      <x:c r="I55" s="19" t="str">
        <x:f>IF(AND(N55="单独计价",COUNT(E55:H55)=4),ROUND(E55*(F55*(1+H55)+G55),2),"")</x:f>
      </x:c>
      <x:c r="J55" s="2" t="str">
        <x:f>IF(N55="含于其他项",IF(L55="","待写归入项","已归入其他项"),IF(AND(N55="单独计价",COUNT(E55:H55)=4),"报价已填","待补齐"))</x:f>
        <x:v>待补齐</x:v>
      </x:c>
      <x:c r="K55" s="15"/>
      <x:c r="L55" s="15"/>
      <x:c r="M55" s="13" t="str">
        <x:v>仅为设备方案项；采购数量、安装和配件待核</x:v>
      </x:c>
      <x:c r="N55" s="15" t="str">
        <x:v>待确认</x:v>
      </x:c>
      <x:c r="O55" s="2"/>
      <x:c r="P55" s="2" t="str">
        <x:v>柜体与材料清单.json /appliances/1</x:v>
      </x:c>
    </x:row>
    <x:row r="56" ht="43" customHeight="1">
      <x:c r="A56" s="12" t="str">
        <x:v>AP03</x:v>
      </x:c>
      <x:c r="B56" s="12" t="str">
        <x:v>厨房</x:v>
      </x:c>
      <x:c r="C56" s="14" t="str">
        <x:v>吸油烟机</x:v>
      </x:c>
      <x:c r="D56" s="14" t="str">
        <x:v>台</x:v>
      </x:c>
      <x:c r="E56" s="17"/>
      <x:c r="F56" s="17"/>
      <x:c r="G56" s="17"/>
      <x:c r="H56" s="18"/>
      <x:c r="I56" s="20" t="str">
        <x:f>IF(AND(N56="单独计价",COUNT(E56:H56)=4),ROUND(E56*(F56*(1+H56)+G56),2),"")</x:f>
      </x:c>
      <x:c r="J56" s="12" t="str">
        <x:f>IF(N56="含于其他项",IF(L56="","待写归入项","已归入其他项"),IF(AND(N56="单独计价",COUNT(E56:H56)=4),"报价已填","待补齐"))</x:f>
        <x:v>待补齐</x:v>
      </x:c>
      <x:c r="K56" s="15"/>
      <x:c r="L56" s="15"/>
      <x:c r="M56" s="14" t="str">
        <x:v>仅为设备方案项；采购数量、安装和配件待核</x:v>
      </x:c>
      <x:c r="N56" s="15" t="str">
        <x:v>待确认</x:v>
      </x:c>
      <x:c r="O56" s="2"/>
      <x:c r="P56" s="2" t="str">
        <x:v>柜体与材料清单.json /appliances/2</x:v>
      </x:c>
    </x:row>
    <x:row r="57" ht="43" customHeight="1">
      <x:c r="A57" s="2" t="str">
        <x:v>AP04</x:v>
      </x:c>
      <x:c r="B57" s="2" t="str">
        <x:v>厨房</x:v>
      </x:c>
      <x:c r="C57" s="13" t="str">
        <x:v>嵌入式洗碗机</x:v>
      </x:c>
      <x:c r="D57" s="13" t="str">
        <x:v>台</x:v>
      </x:c>
      <x:c r="E57" s="17"/>
      <x:c r="F57" s="17"/>
      <x:c r="G57" s="17"/>
      <x:c r="H57" s="18"/>
      <x:c r="I57" s="19" t="str">
        <x:f>IF(AND(N57="单独计价",COUNT(E57:H57)=4),ROUND(E57*(F57*(1+H57)+G57),2),"")</x:f>
      </x:c>
      <x:c r="J57" s="2" t="str">
        <x:f>IF(N57="含于其他项",IF(L57="","待写归入项","已归入其他项"),IF(AND(N57="单独计价",COUNT(E57:H57)=4),"报价已填","待补齐"))</x:f>
        <x:v>待补齐</x:v>
      </x:c>
      <x:c r="K57" s="15"/>
      <x:c r="L57" s="15"/>
      <x:c r="M57" s="13" t="str">
        <x:v>仅为设备方案项；采购数量、安装和配件待核</x:v>
      </x:c>
      <x:c r="N57" s="15" t="str">
        <x:v>待确认</x:v>
      </x:c>
      <x:c r="O57" s="2"/>
      <x:c r="P57" s="2" t="str">
        <x:v>柜体与材料清单.json /appliances/3</x:v>
      </x:c>
    </x:row>
    <x:row r="58" ht="43" customHeight="1">
      <x:c r="A58" s="12" t="str">
        <x:v>AP05</x:v>
      </x:c>
      <x:c r="B58" s="12" t="str">
        <x:v>厨房</x:v>
      </x:c>
      <x:c r="C58" s="14" t="str">
        <x:v>台式微烤组合</x:v>
      </x:c>
      <x:c r="D58" s="14" t="str">
        <x:v>台</x:v>
      </x:c>
      <x:c r="E58" s="17"/>
      <x:c r="F58" s="17"/>
      <x:c r="G58" s="17"/>
      <x:c r="H58" s="18"/>
      <x:c r="I58" s="20" t="str">
        <x:f>IF(AND(N58="单独计价",COUNT(E58:H58)=4),ROUND(E58*(F58*(1+H58)+G58),2),"")</x:f>
      </x:c>
      <x:c r="J58" s="12" t="str">
        <x:f>IF(N58="含于其他项",IF(L58="","待写归入项","已归入其他项"),IF(AND(N58="单独计价",COUNT(E58:H58)=4),"报价已填","待补齐"))</x:f>
        <x:v>待补齐</x:v>
      </x:c>
      <x:c r="K58" s="15"/>
      <x:c r="L58" s="15"/>
      <x:c r="M58" s="14" t="str">
        <x:v>仅为设备方案项；采购数量、安装和配件待核</x:v>
      </x:c>
      <x:c r="N58" s="15" t="str">
        <x:v>待确认</x:v>
      </x:c>
      <x:c r="O58" s="2"/>
      <x:c r="P58" s="2" t="str">
        <x:v>柜体与材料清单.json /appliances/4</x:v>
      </x:c>
    </x:row>
    <x:row r="59" ht="43" customHeight="1">
      <x:c r="A59" s="2" t="str">
        <x:v>AP06</x:v>
      </x:c>
      <x:c r="B59" s="2" t="str">
        <x:v>厨房</x:v>
      </x:c>
      <x:c r="C59" s="13" t="str">
        <x:v>电饭煲</x:v>
      </x:c>
      <x:c r="D59" s="13" t="str">
        <x:v>台</x:v>
      </x:c>
      <x:c r="E59" s="17"/>
      <x:c r="F59" s="17"/>
      <x:c r="G59" s="17"/>
      <x:c r="H59" s="18"/>
      <x:c r="I59" s="19" t="str">
        <x:f>IF(AND(N59="单独计价",COUNT(E59:H59)=4),ROUND(E59*(F59*(1+H59)+G59),2),"")</x:f>
      </x:c>
      <x:c r="J59" s="2" t="str">
        <x:f>IF(N59="含于其他项",IF(L59="","待写归入项","已归入其他项"),IF(AND(N59="单独计价",COUNT(E59:H59)=4),"报价已填","待补齐"))</x:f>
        <x:v>待补齐</x:v>
      </x:c>
      <x:c r="K59" s="15"/>
      <x:c r="L59" s="15"/>
      <x:c r="M59" s="13" t="str">
        <x:v>仅为设备方案项；采购数量、安装和配件待核</x:v>
      </x:c>
      <x:c r="N59" s="15" t="str">
        <x:v>待确认</x:v>
      </x:c>
      <x:c r="O59" s="2"/>
      <x:c r="P59" s="2" t="str">
        <x:v>柜体与材料清单.json /appliances/5</x:v>
      </x:c>
    </x:row>
    <x:row r="60" ht="43" customHeight="1">
      <x:c r="A60" s="12" t="str">
        <x:v>AP07</x:v>
      </x:c>
      <x:c r="B60" s="12" t="str">
        <x:v>厨房</x:v>
      </x:c>
      <x:c r="C60" s="14" t="str">
        <x:v>电热水壶</x:v>
      </x:c>
      <x:c r="D60" s="14" t="str">
        <x:v>台</x:v>
      </x:c>
      <x:c r="E60" s="17"/>
      <x:c r="F60" s="17"/>
      <x:c r="G60" s="17"/>
      <x:c r="H60" s="18"/>
      <x:c r="I60" s="20" t="str">
        <x:f>IF(AND(N60="单独计价",COUNT(E60:H60)=4),ROUND(E60*(F60*(1+H60)+G60),2),"")</x:f>
      </x:c>
      <x:c r="J60" s="12" t="str">
        <x:f>IF(N60="含于其他项",IF(L60="","待写归入项","已归入其他项"),IF(AND(N60="单独计价",COUNT(E60:H60)=4),"报价已填","待补齐"))</x:f>
        <x:v>待补齐</x:v>
      </x:c>
      <x:c r="K60" s="15"/>
      <x:c r="L60" s="15"/>
      <x:c r="M60" s="14" t="str">
        <x:v>仅为设备方案项；采购数量、安装和配件待核</x:v>
      </x:c>
      <x:c r="N60" s="15" t="str">
        <x:v>待确认</x:v>
      </x:c>
      <x:c r="O60" s="2"/>
      <x:c r="P60" s="2" t="str">
        <x:v>柜体与材料清单.json /appliances/6</x:v>
      </x:c>
    </x:row>
    <x:row r="61" ht="43" customHeight="1">
      <x:c r="A61" s="2" t="str">
        <x:v>AP08</x:v>
      </x:c>
      <x:c r="B61" s="2" t="str">
        <x:v>卫生间A</x:v>
      </x:c>
      <x:c r="C61" s="13" t="str">
        <x:v>三筒洗衣机ProMax</x:v>
      </x:c>
      <x:c r="D61" s="13" t="str">
        <x:v>台</x:v>
      </x:c>
      <x:c r="E61" s="17"/>
      <x:c r="F61" s="17"/>
      <x:c r="G61" s="17"/>
      <x:c r="H61" s="18"/>
      <x:c r="I61" s="19" t="str">
        <x:f>IF(AND(N61="单独计价",COUNT(E61:H61)=4),ROUND(E61*(F61*(1+H61)+G61),2),"")</x:f>
      </x:c>
      <x:c r="J61" s="2" t="str">
        <x:f>IF(N61="含于其他项",IF(L61="","待写归入项","已归入其他项"),IF(AND(N61="单独计价",COUNT(E61:H61)=4),"报价已填","待补齐"))</x:f>
        <x:v>待补齐</x:v>
      </x:c>
      <x:c r="K61" s="15" t="str">
        <x:v>Leader XQGL125-MBLDE697WU1</x:v>
      </x:c>
      <x:c r="L61" s="15"/>
      <x:c r="M61" s="13" t="str">
        <x:v>仅为设备方案项；采购数量、安装和配件待核</x:v>
      </x:c>
      <x:c r="N61" s="15" t="str">
        <x:v>待确认</x:v>
      </x:c>
      <x:c r="O61" s="2"/>
      <x:c r="P61" s="2" t="str">
        <x:v>柜体与材料清单.json /appliances/7</x:v>
      </x:c>
    </x:row>
    <x:row r="62" ht="43" customHeight="1">
      <x:c r="A62" s="12" t="str">
        <x:v>AP10</x:v>
      </x:c>
      <x:c r="B62" s="12" t="str">
        <x:v>书房A/衣帽间</x:v>
      </x:c>
      <x:c r="C62" s="14" t="str">
        <x:v>书房壁挂机</x:v>
      </x:c>
      <x:c r="D62" s="14" t="str">
        <x:v>台</x:v>
      </x:c>
      <x:c r="E62" s="17"/>
      <x:c r="F62" s="17"/>
      <x:c r="G62" s="17"/>
      <x:c r="H62" s="18"/>
      <x:c r="I62" s="20" t="str">
        <x:f>IF(AND(N62="单独计价",COUNT(E62:H62)=4),ROUND(E62*(F62*(1+H62)+G62),2),"")</x:f>
      </x:c>
      <x:c r="J62" s="12" t="str">
        <x:f>IF(N62="含于其他项",IF(L62="","待写归入项","已归入其他项"),IF(AND(N62="单独计价",COUNT(E62:H62)=4),"报价已填","待补齐"))</x:f>
        <x:v>待补齐</x:v>
      </x:c>
      <x:c r="K62" s="15"/>
      <x:c r="L62" s="15"/>
      <x:c r="M62" s="14" t="str">
        <x:v>仅为设备方案项；采购数量、安装和配件待核</x:v>
      </x:c>
      <x:c r="N62" s="15" t="str">
        <x:v>待确认</x:v>
      </x:c>
      <x:c r="O62" s="2"/>
      <x:c r="P62" s="2" t="str">
        <x:v>柜体与材料清单.json /appliances/8</x:v>
      </x:c>
    </x:row>
    <x:row r="63" ht="43" customHeight="1">
      <x:c r="A63" s="2" t="str">
        <x:v>AP11</x:v>
      </x:c>
      <x:c r="B63" s="2" t="str">
        <x:v>南次卧B</x:v>
      </x:c>
      <x:c r="C63" s="13" t="str">
        <x:v>卧室B壁挂机</x:v>
      </x:c>
      <x:c r="D63" s="13" t="str">
        <x:v>台</x:v>
      </x:c>
      <x:c r="E63" s="17"/>
      <x:c r="F63" s="17"/>
      <x:c r="G63" s="17"/>
      <x:c r="H63" s="18"/>
      <x:c r="I63" s="19" t="str">
        <x:f>IF(AND(N63="单独计价",COUNT(E63:H63)=4),ROUND(E63*(F63*(1+H63)+G63),2),"")</x:f>
      </x:c>
      <x:c r="J63" s="2" t="str">
        <x:f>IF(N63="含于其他项",IF(L63="","待写归入项","已归入其他项"),IF(AND(N63="单独计价",COUNT(E63:H63)=4),"报价已填","待补齐"))</x:f>
        <x:v>待补齐</x:v>
      </x:c>
      <x:c r="K63" s="15"/>
      <x:c r="L63" s="15"/>
      <x:c r="M63" s="13" t="str">
        <x:v>仅为设备方案项；采购数量、安装和配件待核</x:v>
      </x:c>
      <x:c r="N63" s="15" t="str">
        <x:v>待确认</x:v>
      </x:c>
      <x:c r="O63" s="2"/>
      <x:c r="P63" s="2" t="str">
        <x:v>柜体与材料清单.json /appliances/9</x:v>
      </x:c>
    </x:row>
    <x:row r="64" ht="43" customHeight="1">
      <x:c r="A64" s="12" t="str">
        <x:v>AP12</x:v>
      </x:c>
      <x:c r="B64" s="12" t="str">
        <x:v>南主卧C</x:v>
      </x:c>
      <x:c r="C64" s="14" t="str">
        <x:v>主卧壁挂机</x:v>
      </x:c>
      <x:c r="D64" s="14" t="str">
        <x:v>台</x:v>
      </x:c>
      <x:c r="E64" s="17"/>
      <x:c r="F64" s="17"/>
      <x:c r="G64" s="17"/>
      <x:c r="H64" s="18"/>
      <x:c r="I64" s="20" t="str">
        <x:f>IF(AND(N64="单独计价",COUNT(E64:H64)=4),ROUND(E64*(F64*(1+H64)+G64),2),"")</x:f>
      </x:c>
      <x:c r="J64" s="12" t="str">
        <x:f>IF(N64="含于其他项",IF(L64="","待写归入项","已归入其他项"),IF(AND(N64="单独计价",COUNT(E64:H64)=4),"报价已填","待补齐"))</x:f>
        <x:v>待补齐</x:v>
      </x:c>
      <x:c r="K64" s="15"/>
      <x:c r="L64" s="15"/>
      <x:c r="M64" s="14" t="str">
        <x:v>仅为设备方案项；采购数量、安装和配件待核</x:v>
      </x:c>
      <x:c r="N64" s="15" t="str">
        <x:v>待确认</x:v>
      </x:c>
      <x:c r="O64" s="2"/>
      <x:c r="P64" s="2" t="str">
        <x:v>柜体与材料清单.json /appliances/10</x:v>
      </x:c>
    </x:row>
    <x:row r="65" ht="43" customHeight="1">
      <x:c r="A65" s="2" t="str">
        <x:v>AP13</x:v>
      </x:c>
      <x:c r="B65" s="2" t="str">
        <x:v>客厅</x:v>
      </x:c>
      <x:c r="C65" s="13" t="str">
        <x:v>客厅柜式空调</x:v>
      </x:c>
      <x:c r="D65" s="13" t="str">
        <x:v>台</x:v>
      </x:c>
      <x:c r="E65" s="17"/>
      <x:c r="F65" s="17"/>
      <x:c r="G65" s="17"/>
      <x:c r="H65" s="18"/>
      <x:c r="I65" s="19" t="str">
        <x:f>IF(AND(N65="单独计价",COUNT(E65:H65)=4),ROUND(E65*(F65*(1+H65)+G65),2),"")</x:f>
      </x:c>
      <x:c r="J65" s="2" t="str">
        <x:f>IF(N65="含于其他项",IF(L65="","待写归入项","已归入其他项"),IF(AND(N65="单独计价",COUNT(E65:H65)=4),"报价已填","待补齐"))</x:f>
        <x:v>待补齐</x:v>
      </x:c>
      <x:c r="K65" s="15"/>
      <x:c r="L65" s="15"/>
      <x:c r="M65" s="13" t="str">
        <x:v>仅为设备方案项；采购数量、安装和配件待核</x:v>
      </x:c>
      <x:c r="N65" s="15" t="str">
        <x:v>待确认</x:v>
      </x:c>
      <x:c r="O65" s="2"/>
      <x:c r="P65" s="2" t="str">
        <x:v>柜体与材料清单.json /appliances/11</x:v>
      </x:c>
    </x:row>
    <x:row r="66" ht="43" customHeight="1">
      <x:c r="A66" s="12" t="str">
        <x:v>AP14</x:v>
      </x:c>
      <x:c r="B66" s="12" t="str">
        <x:v>客厅</x:v>
      </x:c>
      <x:c r="C66" s="14" t="str">
        <x:v>客厅壁挂电视</x:v>
      </x:c>
      <x:c r="D66" s="14" t="str">
        <x:v>台</x:v>
      </x:c>
      <x:c r="E66" s="17"/>
      <x:c r="F66" s="17"/>
      <x:c r="G66" s="17"/>
      <x:c r="H66" s="18"/>
      <x:c r="I66" s="20" t="str">
        <x:f>IF(AND(N66="单独计价",COUNT(E66:H66)=4),ROUND(E66*(F66*(1+H66)+G66),2),"")</x:f>
      </x:c>
      <x:c r="J66" s="12" t="str">
        <x:f>IF(N66="含于其他项",IF(L66="","待写归入项","已归入其他项"),IF(AND(N66="单独计价",COUNT(E66:H66)=4),"报价已填","待补齐"))</x:f>
        <x:v>待补齐</x:v>
      </x:c>
      <x:c r="K66" s="15"/>
      <x:c r="L66" s="15"/>
      <x:c r="M66" s="14" t="str">
        <x:v>仅为设备方案项；采购数量、安装和配件待核</x:v>
      </x:c>
      <x:c r="N66" s="15" t="str">
        <x:v>待确认</x:v>
      </x:c>
      <x:c r="O66" s="2"/>
      <x:c r="P66" s="2" t="str">
        <x:v>柜体与材料清单.json /appliances/12</x:v>
      </x:c>
    </x:row>
    <x:row r="67" ht="43" customHeight="1">
      <x:c r="A67" s="2" t="str">
        <x:v>AP15</x:v>
      </x:c>
      <x:c r="B67" s="2" t="str">
        <x:v>书房A/衣帽间</x:v>
      </x:c>
      <x:c r="C67" s="13" t="str">
        <x:v>书房双屏电脑设备</x:v>
      </x:c>
      <x:c r="D67" s="13" t="str">
        <x:v>组</x:v>
      </x:c>
      <x:c r="E67" s="17"/>
      <x:c r="F67" s="17"/>
      <x:c r="G67" s="17"/>
      <x:c r="H67" s="18"/>
      <x:c r="I67" s="19" t="str">
        <x:f>IF(AND(N67="单独计价",COUNT(E67:H67)=4),ROUND(E67*(F67*(1+H67)+G67),2),"")</x:f>
      </x:c>
      <x:c r="J67" s="2" t="str">
        <x:f>IF(N67="含于其他项",IF(L67="","待写归入项","已归入其他项"),IF(AND(N67="单独计价",COUNT(E67:H67)=4),"报价已填","待补齐"))</x:f>
        <x:v>待补齐</x:v>
      </x:c>
      <x:c r="K67" s="15"/>
      <x:c r="L67" s="15"/>
      <x:c r="M67" s="13" t="str">
        <x:v>仅为设备方案项；采购数量、安装和配件待核</x:v>
      </x:c>
      <x:c r="N67" s="15" t="str">
        <x:v>待确认</x:v>
      </x:c>
      <x:c r="O67" s="2"/>
      <x:c r="P67" s="2" t="str">
        <x:v>柜体与材料清单.json /appliances/13</x:v>
      </x:c>
    </x:row>
  </x:sheetData>
  <x:conditionalFormatting sqref="J11:J67">
    <x:cfRule type="containsText" dxfId="0" priority="1" operator="containsText" text="待补齐"/>
  </x:conditionalFormatting>
  <x:dataValidations count="1">
    <x:dataValidation type="list" sqref="N11:N67">
      <x:formula1>"待确认,单独计价,含于其他项"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75449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1.8799991607666" hidden="0" customWidth="1"/>
    <x:col min="2" max="2" width="16.25" hidden="0" customWidth="1"/>
    <x:col min="3" max="3" width="28.1299991607666" hidden="0" customWidth="1"/>
    <x:col min="4" max="4" width="29.3799991607666" hidden="0" customWidth="1"/>
    <x:col min="5" max="5" width="11.880000114440918" hidden="0" customWidth="1"/>
    <x:col min="6" max="6" width="12.5" hidden="0" customWidth="1"/>
    <x:col min="7" max="7" width="12.5" hidden="0" customWidth="1"/>
    <x:col min="8" max="8" width="42.5" hidden="0" customWidth="1"/>
    <x:col min="9" max="9" width="2.75" hidden="0" customWidth="1"/>
    <x:col min="10" max="10" width="40" hidden="0" customWidth="1"/>
    <x:col min="11" max="11" width="85" hidden="0" customWidth="1"/>
    <x:col min="12" max="12" width="40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4" customHeight="1">
      <x:c r="A2" s="4" t="str">
        <x:v>柜体规格与来源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7" customHeight="1">
      <x:c r="A3" s="2" t="str">
        <x:v>方案值原单位为m，毫米列用公式换算。绝对Z高度、地面以上高度与柜身净高按项目口径区分。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7" customHeight="1">
      <x:c r="A4" s="2" t="str">
        <x:v>柜体白色为主、胡桃点缀；长短挂衣区、柜门五金、承载和固定方式仍需定制深化。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7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8" customHeight="1">
      <x:c r="A6" s="11" t="str">
        <x:v>模块编号</x:v>
      </x:c>
      <x:c r="B6" s="11" t="str">
        <x:v>房间</x:v>
      </x:c>
      <x:c r="C6" s="11" t="str">
        <x:v>模块名称</x:v>
      </x:c>
      <x:c r="D6" s="11" t="str">
        <x:v>尺寸/配置口径</x:v>
      </x:c>
      <x:c r="E6" s="11" t="str">
        <x:v>方案值（m）</x:v>
      </x:c>
      <x:c r="F6" s="11" t="str">
        <x:v>换算（mm）</x:v>
      </x:c>
      <x:c r="G6" s="11" t="str">
        <x:v>实测（mm）</x:v>
      </x:c>
      <x:c r="H6" s="11" t="str">
        <x:v>说明</x:v>
      </x:c>
      <x:c r="I6" s="2"/>
      <x:c r="J6" s="2" t="str">
        <x:v>来源文件</x:v>
      </x:c>
      <x:c r="K6" s="2" t="str">
        <x:v>JSON定位</x:v>
      </x:c>
      <x:c r="L6" s="2" t="str">
        <x:v>原引用值</x:v>
      </x:c>
    </x:row>
    <x:row r="7" ht="39" customHeight="1">
      <x:c r="A7" s="2" t="str">
        <x:v>C03-low</x:v>
      </x:c>
      <x:c r="B7" s="2" t="str">
        <x:v>客厅</x:v>
      </x:c>
      <x:c r="C7" s="2" t="str">
        <x:v>电视连续白色低柜</x:v>
      </x:c>
      <x:c r="D7" s="13" t="str">
        <x:v>低柜通长</x:v>
      </x:c>
      <x:c r="E7" s="21" t="n">
        <x:v>3.4799999999999995</x:v>
      </x:c>
      <x:c r="F7" s="23" t="n">
        <x:f>IF(COUNT(E7)=1,E7*1000,"")</x:f>
        <x:v>3479.9999999999995</x:v>
      </x:c>
      <x:c r="G7" s="26"/>
      <x:c r="H7" s="13" t="str">
        <x:v>方案尺寸；口径见项目名称，实测待填</x:v>
      </x:c>
      <x:c r="I7" s="2"/>
      <x:c r="J7" s="2" t="str">
        <x:v>tv-spec-v12.json</x:v>
      </x:c>
      <x:c r="K7" s="2" t="str">
        <x:v>/dimensions_proposal_m/low_width</x:v>
      </x:c>
      <x:c r="L7" s="2" t="n">
        <x:v>3.4799999999999995</x:v>
      </x:c>
    </x:row>
    <x:row r="8" ht="39" customHeight="1">
      <x:c r="A8" s="12" t="str">
        <x:v>C03-low</x:v>
      </x:c>
      <x:c r="B8" s="12" t="str">
        <x:v>客厅</x:v>
      </x:c>
      <x:c r="C8" s="12" t="str">
        <x:v>电视连续白色低柜</x:v>
      </x:c>
      <x:c r="D8" s="14" t="str">
        <x:v>柜体方案深度</x:v>
      </x:c>
      <x:c r="E8" s="22" t="n">
        <x:v>0.4159999999999995</x:v>
      </x:c>
      <x:c r="F8" s="24" t="n">
        <x:f>IF(COUNT(E8)=1,E8*1000,"")</x:f>
        <x:v>415.9999999999995</x:v>
      </x:c>
      <x:c r="G8" s="26"/>
      <x:c r="H8" s="14" t="str">
        <x:v>方案尺寸；口径见项目名称，实测待填</x:v>
      </x:c>
      <x:c r="I8" s="2"/>
      <x:c r="J8" s="2" t="str">
        <x:v>tv-spec-v12.json</x:v>
      </x:c>
      <x:c r="K8" s="2" t="str">
        <x:v>/dimensions_proposal_m/depth</x:v>
      </x:c>
      <x:c r="L8" s="2" t="n">
        <x:v>0.4159999999999995</x:v>
      </x:c>
    </x:row>
    <x:row r="9" ht="39" customHeight="1">
      <x:c r="A9" s="2" t="str">
        <x:v>C03-low</x:v>
      </x:c>
      <x:c r="B9" s="2" t="str">
        <x:v>客厅</x:v>
      </x:c>
      <x:c r="C9" s="2" t="str">
        <x:v>电视连续白色低柜</x:v>
      </x:c>
      <x:c r="D9" s="13" t="str">
        <x:v>台面顶绝对Z</x:v>
      </x:c>
      <x:c r="E9" s="21" t="n">
        <x:v>0.444</x:v>
      </x:c>
      <x:c r="F9" s="23" t="n">
        <x:f>IF(COUNT(E9)=1,E9*1000,"")</x:f>
        <x:v>444</x:v>
      </x:c>
      <x:c r="G9" s="26"/>
      <x:c r="H9" s="13" t="str">
        <x:v>方案尺寸；口径见项目名称，实测待填</x:v>
      </x:c>
      <x:c r="I9" s="2"/>
      <x:c r="J9" s="2" t="str">
        <x:v>tv-spec-v12.json</x:v>
      </x:c>
      <x:c r="K9" s="2" t="str">
        <x:v>/dimensions_proposal_m/low_top_absolute</x:v>
      </x:c>
      <x:c r="L9" s="2" t="n">
        <x:v>0.444</x:v>
      </x:c>
    </x:row>
    <x:row r="10" ht="39" customHeight="1">
      <x:c r="A10" s="12" t="str">
        <x:v>C03-low</x:v>
      </x:c>
      <x:c r="B10" s="12" t="str">
        <x:v>客厅</x:v>
      </x:c>
      <x:c r="C10" s="12" t="str">
        <x:v>电视连续白色低柜</x:v>
      </x:c>
      <x:c r="D10" s="14" t="str">
        <x:v>台面顶距完成地面</x:v>
      </x:c>
      <x:c r="E10" s="22" t="n">
        <x:v>0.432</x:v>
      </x:c>
      <x:c r="F10" s="24" t="n">
        <x:f>IF(COUNT(E10)=1,E10*1000,"")</x:f>
        <x:v>432</x:v>
      </x:c>
      <x:c r="G10" s="26"/>
      <x:c r="H10" s="14" t="str">
        <x:v>方案尺寸；口径见项目名称，实测待填</x:v>
      </x:c>
      <x:c r="I10" s="2"/>
      <x:c r="J10" s="2" t="str">
        <x:v>tv-spec-v12.json</x:v>
      </x:c>
      <x:c r="K10" s="2" t="str">
        <x:v>/dimensions_proposal_m/low_above_finished_floor</x:v>
      </x:c>
      <x:c r="L10" s="2" t="n">
        <x:v>0.432</x:v>
      </x:c>
    </x:row>
    <x:row r="11" ht="39" customHeight="1">
      <x:c r="A11" s="2" t="str">
        <x:v>C03-low</x:v>
      </x:c>
      <x:c r="B11" s="2" t="str">
        <x:v>客厅</x:v>
      </x:c>
      <x:c r="C11" s="2" t="str">
        <x:v>电视连续白色低柜</x:v>
      </x:c>
      <x:c r="D11" s="13" t="str">
        <x:v>胡桃色台面方案厚度</x:v>
      </x:c>
      <x:c r="E11" s="21" t="n">
        <x:v>0.018</x:v>
      </x:c>
      <x:c r="F11" s="23" t="n">
        <x:f>IF(COUNT(E11)=1,E11*1000,"")</x:f>
        <x:v>18</x:v>
      </x:c>
      <x:c r="G11" s="26"/>
      <x:c r="H11" s="13" t="str">
        <x:v>方案尺寸；口径见项目名称，实测待填</x:v>
      </x:c>
      <x:c r="I11" s="2"/>
      <x:c r="J11" s="2" t="str">
        <x:v>tv-spec-v12.json</x:v>
      </x:c>
      <x:c r="K11" s="2" t="str">
        <x:v>/dimensions_proposal_m/walnut_top_thickness</x:v>
      </x:c>
      <x:c r="L11" s="2" t="n">
        <x:v>0.018</x:v>
      </x:c>
    </x:row>
    <x:row r="12" ht="84" customHeight="1">
      <x:c r="A12" s="12" t="str">
        <x:v>C03-low</x:v>
      </x:c>
      <x:c r="B12" s="12" t="str">
        <x:v>客厅</x:v>
      </x:c>
      <x:c r="C12" s="12" t="str">
        <x:v>电视连续白色低柜</x:v>
      </x:c>
      <x:c r="D12" s="14" t="str">
        <x:v>柜体配置</x:v>
      </x:c>
      <x:c r="E12" s="22"/>
      <x:c r="F12" s="24" t="str">
        <x:f>IF(COUNT(E12)=1,E12*1000,"")</x:f>
      </x:c>
      <x:c r="G12" s="26"/>
      <x:c r="H12" s="14" t="str">
        <x:v>白色哑光门板，薄胡桃色台面，暖白背景；原电视与柜机位置保留。</x:v>
      </x:c>
      <x:c r="I12" s="2"/>
      <x:c r="J12" s="2" t="str">
        <x:v>柜体与材料清单.json</x:v>
      </x:c>
      <x:c r="K12" s="2" t="str">
        <x:v>/cabinets/0/configuration</x:v>
      </x:c>
      <x:c r="L12" s="2" t="str">
        <x:v>白色哑光门板，薄胡桃色台面，暖白背景；原电视与柜机位置保留。</x:v>
      </x:c>
    </x:row>
    <x:row r="13" ht="39" customHeight="1">
      <x:c r="A13" s="2" t="str">
        <x:v>C03-tall</x:v>
      </x:c>
      <x:c r="B13" s="2" t="str">
        <x:v>客厅</x:v>
      </x:c>
      <x:c r="C13" s="2" t="str">
        <x:v>电视左侧白高柜与窄玻璃展示柜</x:v>
      </x:c>
      <x:c r="D13" s="13" t="str">
        <x:v>高柜组合总宽</x:v>
      </x:c>
      <x:c r="E13" s="21" t="n">
        <x:v>1.0300000000000002</x:v>
      </x:c>
      <x:c r="F13" s="23" t="n">
        <x:f>IF(COUNT(E13)=1,E13*1000,"")</x:f>
        <x:v>1030.0000000000002</x:v>
      </x:c>
      <x:c r="G13" s="26"/>
      <x:c r="H13" s="13" t="str">
        <x:v>方案尺寸；口径见项目名称，实测待填</x:v>
      </x:c>
      <x:c r="I13" s="2"/>
      <x:c r="J13" s="2" t="str">
        <x:v>tv-spec-v12.json</x:v>
      </x:c>
      <x:c r="K13" s="2" t="str">
        <x:v>/dimensions_proposal_m/tall_width</x:v>
      </x:c>
      <x:c r="L13" s="2" t="n">
        <x:v>1.0300000000000002</x:v>
      </x:c>
    </x:row>
    <x:row r="14" ht="39" customHeight="1">
      <x:c r="A14" s="12" t="str">
        <x:v>C03-tall</x:v>
      </x:c>
      <x:c r="B14" s="12" t="str">
        <x:v>客厅</x:v>
      </x:c>
      <x:c r="C14" s="12" t="str">
        <x:v>电视左侧白高柜与窄玻璃展示柜</x:v>
      </x:c>
      <x:c r="D14" s="14" t="str">
        <x:v>柜体方案深度</x:v>
      </x:c>
      <x:c r="E14" s="22" t="n">
        <x:v>0.4159999999999995</x:v>
      </x:c>
      <x:c r="F14" s="24" t="n">
        <x:f>IF(COUNT(E14)=1,E14*1000,"")</x:f>
        <x:v>415.9999999999995</x:v>
      </x:c>
      <x:c r="G14" s="26"/>
      <x:c r="H14" s="14" t="str">
        <x:v>方案尺寸；口径见项目名称，实测待填</x:v>
      </x:c>
      <x:c r="I14" s="2"/>
      <x:c r="J14" s="2" t="str">
        <x:v>tv-spec-v12.json</x:v>
      </x:c>
      <x:c r="K14" s="2" t="str">
        <x:v>/dimensions_proposal_m/depth</x:v>
      </x:c>
      <x:c r="L14" s="2" t="n">
        <x:v>0.4159999999999995</x:v>
      </x:c>
    </x:row>
    <x:row r="15" ht="39" customHeight="1">
      <x:c r="A15" s="2" t="str">
        <x:v>C03-tall</x:v>
      </x:c>
      <x:c r="B15" s="2" t="str">
        <x:v>客厅</x:v>
      </x:c>
      <x:c r="C15" s="2" t="str">
        <x:v>电视左侧白高柜与窄玻璃展示柜</x:v>
      </x:c>
      <x:c r="D15" s="13" t="str">
        <x:v>高柜顶绝对Z</x:v>
      </x:c>
      <x:c r="E15" s="21" t="n">
        <x:v>2.7</x:v>
      </x:c>
      <x:c r="F15" s="23" t="n">
        <x:f>IF(COUNT(E15)=1,E15*1000,"")</x:f>
        <x:v>2700</x:v>
      </x:c>
      <x:c r="G15" s="26"/>
      <x:c r="H15" s="13" t="str">
        <x:v>方案尺寸；口径见项目名称，实测待填</x:v>
      </x:c>
      <x:c r="I15" s="2"/>
      <x:c r="J15" s="2" t="str">
        <x:v>tv-spec-v12.json</x:v>
      </x:c>
      <x:c r="K15" s="2" t="str">
        <x:v>/dimensions_proposal_m/tall_top_absolute</x:v>
      </x:c>
      <x:c r="L15" s="2" t="n">
        <x:v>2.7</x:v>
      </x:c>
    </x:row>
    <x:row r="16" ht="39" customHeight="1">
      <x:c r="A16" s="12" t="str">
        <x:v>C03-tall</x:v>
      </x:c>
      <x:c r="B16" s="12" t="str">
        <x:v>客厅</x:v>
      </x:c>
      <x:c r="C16" s="12" t="str">
        <x:v>电视左侧白高柜与窄玻璃展示柜</x:v>
      </x:c>
      <x:c r="D16" s="14" t="str">
        <x:v>玻璃展示区外宽</x:v>
      </x:c>
      <x:c r="E16" s="22" t="n">
        <x:v>0.5120000000000005</x:v>
      </x:c>
      <x:c r="F16" s="24" t="n">
        <x:f>IF(COUNT(E16)=1,E16*1000,"")</x:f>
        <x:v>512.0000000000005</x:v>
      </x:c>
      <x:c r="G16" s="26"/>
      <x:c r="H16" s="14" t="str">
        <x:v>方案尺寸；口径见项目名称，实测待填</x:v>
      </x:c>
      <x:c r="I16" s="2"/>
      <x:c r="J16" s="2" t="str">
        <x:v>tv-spec-v12.json</x:v>
      </x:c>
      <x:c r="K16" s="2" t="str">
        <x:v>/dimensions_proposal_m/display_outer_width</x:v>
      </x:c>
      <x:c r="L16" s="2" t="n">
        <x:v>0.5120000000000005</x:v>
      </x:c>
    </x:row>
    <x:row r="17" ht="39" customHeight="1">
      <x:c r="A17" s="2" t="str">
        <x:v>C03-tall</x:v>
      </x:c>
      <x:c r="B17" s="2" t="str">
        <x:v>客厅</x:v>
      </x:c>
      <x:c r="C17" s="2" t="str">
        <x:v>电视左侧白高柜与窄玻璃展示柜</x:v>
      </x:c>
      <x:c r="D17" s="13" t="str">
        <x:v>白色封闭储物区外宽</x:v>
      </x:c>
      <x:c r="E17" s="21" t="n">
        <x:v>0.5179999999999998</x:v>
      </x:c>
      <x:c r="F17" s="23" t="n">
        <x:f>IF(COUNT(E17)=1,E17*1000,"")</x:f>
        <x:v>517.9999999999998</x:v>
      </x:c>
      <x:c r="G17" s="26"/>
      <x:c r="H17" s="13" t="str">
        <x:v>方案尺寸；口径见项目名称，实测待填</x:v>
      </x:c>
      <x:c r="I17" s="2"/>
      <x:c r="J17" s="2" t="str">
        <x:v>tv-spec-v12.json</x:v>
      </x:c>
      <x:c r="K17" s="2" t="str">
        <x:v>/dimensions_proposal_m/white_storage_outer_width</x:v>
      </x:c>
      <x:c r="L17" s="2" t="n">
        <x:v>0.5179999999999998</x:v>
      </x:c>
    </x:row>
    <x:row r="18" ht="84" customHeight="1">
      <x:c r="A18" s="12" t="str">
        <x:v>C03-tall</x:v>
      </x:c>
      <x:c r="B18" s="12" t="str">
        <x:v>客厅</x:v>
      </x:c>
      <x:c r="C18" s="12" t="str">
        <x:v>电视左侧白高柜与窄玻璃展示柜</x:v>
      </x:c>
      <x:c r="D18" s="14" t="str">
        <x:v>柜体配置</x:v>
      </x:c>
      <x:c r="E18" s="22"/>
      <x:c r="F18" s="24" t="str">
        <x:f>IF(COUNT(E18)=1,E18*1000,"")</x:f>
      </x:c>
      <x:c r="G18" s="26"/>
      <x:c r="H18" s="14" t="str">
        <x:v>左侧封闭白高柜配茶灰玻璃窄展示格、玻璃层板与暖光。</x:v>
      </x:c>
      <x:c r="I18" s="2"/>
      <x:c r="J18" s="2" t="str">
        <x:v>柜体与材料清单.json</x:v>
      </x:c>
      <x:c r="K18" s="2" t="str">
        <x:v>/cabinets/1/configuration</x:v>
      </x:c>
      <x:c r="L18" s="2" t="str">
        <x:v>左侧封闭白高柜配茶灰玻璃窄展示格、玻璃层板与暖光。</x:v>
      </x:c>
    </x:row>
    <x:row r="19" ht="39" customHeight="1">
      <x:c r="A19" s="2" t="str">
        <x:v>C02-sideboard</x:v>
      </x:c>
      <x:c r="B19" s="2" t="str">
        <x:v>餐厅</x:v>
      </x:c>
      <x:c r="C19" s="2" t="str">
        <x:v>东墙白柜胡桃中段餐边柜</x:v>
      </x:c>
      <x:c r="D19" s="13" t="str">
        <x:v>方案通长</x:v>
      </x:c>
      <x:c r="E19" s="21" t="n">
        <x:v>2.008571428571429</x:v>
      </x:c>
      <x:c r="F19" s="23" t="n">
        <x:f>IF(COUNT(E19)=1,E19*1000,"")</x:f>
        <x:v>2008.571428571429</x:v>
      </x:c>
      <x:c r="G19" s="26"/>
      <x:c r="H19" s="13" t="str">
        <x:v>方案尺寸；口径见项目名称，实测待填</x:v>
      </x:c>
      <x:c r="I19" s="2"/>
      <x:c r="J19" s="2" t="str">
        <x:v>dining-entry-spec-v10.json</x:v>
      </x:c>
      <x:c r="K19" s="2" t="str">
        <x:v>/sideboard/width_proposal_m</x:v>
      </x:c>
      <x:c r="L19" s="2" t="n">
        <x:v>2.008571428571429</x:v>
      </x:c>
    </x:row>
    <x:row r="20" ht="39" customHeight="1">
      <x:c r="A20" s="12" t="str">
        <x:v>C02-sideboard</x:v>
      </x:c>
      <x:c r="B20" s="12" t="str">
        <x:v>餐厅</x:v>
      </x:c>
      <x:c r="C20" s="12" t="str">
        <x:v>东墙白柜胡桃中段餐边柜</x:v>
      </x:c>
      <x:c r="D20" s="14" t="str">
        <x:v>下柜深度</x:v>
      </x:c>
      <x:c r="E20" s="22" t="n">
        <x:v>0.35</x:v>
      </x:c>
      <x:c r="F20" s="24" t="n">
        <x:f>IF(COUNT(E20)=1,E20*1000,"")</x:f>
        <x:v>350</x:v>
      </x:c>
      <x:c r="G20" s="26"/>
      <x:c r="H20" s="14" t="str">
        <x:v>方案尺寸；口径见项目名称，实测待填</x:v>
      </x:c>
      <x:c r="I20" s="2"/>
      <x:c r="J20" s="2" t="str">
        <x:v>dining-entry-spec-v10.json</x:v>
      </x:c>
      <x:c r="K20" s="2" t="str">
        <x:v>/sideboard/depth_m</x:v>
      </x:c>
      <x:c r="L20" s="2" t="n">
        <x:v>0.35</x:v>
      </x:c>
    </x:row>
    <x:row r="21" ht="39" customHeight="1">
      <x:c r="A21" s="2" t="str">
        <x:v>C02-sideboard</x:v>
      </x:c>
      <x:c r="B21" s="2" t="str">
        <x:v>餐厅</x:v>
      </x:c>
      <x:c r="C21" s="2" t="str">
        <x:v>东墙白柜胡桃中段餐边柜</x:v>
      </x:c>
      <x:c r="D21" s="13" t="str">
        <x:v>上柜深度</x:v>
      </x:c>
      <x:c r="E21" s="21" t="n">
        <x:v>0.32</x:v>
      </x:c>
      <x:c r="F21" s="23" t="n">
        <x:f>IF(COUNT(E21)=1,E21*1000,"")</x:f>
        <x:v>320</x:v>
      </x:c>
      <x:c r="G21" s="26"/>
      <x:c r="H21" s="13" t="str">
        <x:v>方案尺寸；口径见项目名称，实测待填</x:v>
      </x:c>
      <x:c r="I21" s="2"/>
      <x:c r="J21" s="2" t="str">
        <x:v>dining-entry-spec-v10.json</x:v>
      </x:c>
      <x:c r="K21" s="2" t="str">
        <x:v>/sideboard/upper_depth_m</x:v>
      </x:c>
      <x:c r="L21" s="2" t="n">
        <x:v>0.32</x:v>
      </x:c>
    </x:row>
    <x:row r="22" ht="39" customHeight="1">
      <x:c r="A22" s="12" t="str">
        <x:v>C02-sideboard</x:v>
      </x:c>
      <x:c r="B22" s="12" t="str">
        <x:v>餐厅</x:v>
      </x:c>
      <x:c r="C22" s="12" t="str">
        <x:v>东墙白柜胡桃中段餐边柜</x:v>
      </x:c>
      <x:c r="D22" s="14" t="str">
        <x:v>台面深度</x:v>
      </x:c>
      <x:c r="E22" s="22" t="n">
        <x:v>0.385</x:v>
      </x:c>
      <x:c r="F22" s="24" t="n">
        <x:f>IF(COUNT(E22)=1,E22*1000,"")</x:f>
        <x:v>385</x:v>
      </x:c>
      <x:c r="G22" s="26"/>
      <x:c r="H22" s="14" t="str">
        <x:v>方案尺寸；口径见项目名称，实测待填</x:v>
      </x:c>
      <x:c r="I22" s="2"/>
      <x:c r="J22" s="2" t="str">
        <x:v>dining-entry-spec-v10.json</x:v>
      </x:c>
      <x:c r="K22" s="2" t="str">
        <x:v>/sideboard/countertop_depth_m</x:v>
      </x:c>
      <x:c r="L22" s="2" t="n">
        <x:v>0.385</x:v>
      </x:c>
    </x:row>
    <x:row r="23" ht="39" customHeight="1">
      <x:c r="A23" s="2" t="str">
        <x:v>C02-sideboard</x:v>
      </x:c>
      <x:c r="B23" s="2" t="str">
        <x:v>餐厅</x:v>
      </x:c>
      <x:c r="C23" s="2" t="str">
        <x:v>东墙白柜胡桃中段餐边柜</x:v>
      </x:c>
      <x:c r="D23" s="13" t="str">
        <x:v>柜顶绝对Z</x:v>
      </x:c>
      <x:c r="E23" s="21" t="n">
        <x:v>2.8</x:v>
      </x:c>
      <x:c r="F23" s="23" t="n">
        <x:f>IF(COUNT(E23)=1,E23*1000,"")</x:f>
        <x:v>2800</x:v>
      </x:c>
      <x:c r="G23" s="26"/>
      <x:c r="H23" s="13" t="str">
        <x:v>方案尺寸；口径见项目名称，实测待填</x:v>
      </x:c>
      <x:c r="I23" s="2"/>
      <x:c r="J23" s="2" t="str">
        <x:v>style-joinery-spec.json</x:v>
      </x:c>
      <x:c r="K23" s="2" t="str">
        <x:v>/sideboard/top_absolute_m</x:v>
      </x:c>
      <x:c r="L23" s="2" t="n">
        <x:v>2.8</x:v>
      </x:c>
    </x:row>
    <x:row r="24" ht="39" customHeight="1">
      <x:c r="A24" s="12" t="str">
        <x:v>C02-sideboard</x:v>
      </x:c>
      <x:c r="B24" s="12" t="str">
        <x:v>餐厅</x:v>
      </x:c>
      <x:c r="C24" s="12" t="str">
        <x:v>东墙白柜胡桃中段餐边柜</x:v>
      </x:c>
      <x:c r="D24" s="14" t="str">
        <x:v>柜高距完成地面</x:v>
      </x:c>
      <x:c r="E24" s="22" t="n">
        <x:v>2.788</x:v>
      </x:c>
      <x:c r="F24" s="24" t="n">
        <x:f>IF(COUNT(E24)=1,E24*1000,"")</x:f>
        <x:v>2788</x:v>
      </x:c>
      <x:c r="G24" s="26"/>
      <x:c r="H24" s="14" t="str">
        <x:v>方案尺寸；口径见项目名称，实测待填</x:v>
      </x:c>
      <x:c r="I24" s="2"/>
      <x:c r="J24" s="2" t="str">
        <x:v>style-joinery-spec.json</x:v>
      </x:c>
      <x:c r="K24" s="2" t="str">
        <x:v>/sideboard/finished_height_m</x:v>
      </x:c>
      <x:c r="L24" s="2" t="n">
        <x:v>2.788</x:v>
      </x:c>
    </x:row>
    <x:row r="25" ht="39" customHeight="1">
      <x:c r="A25" s="2" t="str">
        <x:v>C02-sideboard</x:v>
      </x:c>
      <x:c r="B25" s="2" t="str">
        <x:v>餐厅</x:v>
      </x:c>
      <x:c r="C25" s="2" t="str">
        <x:v>东墙白柜胡桃中段餐边柜</x:v>
      </x:c>
      <x:c r="D25" s="13" t="str">
        <x:v>台面距完成地面</x:v>
      </x:c>
      <x:c r="E25" s="21" t="n">
        <x:v>0.888</x:v>
      </x:c>
      <x:c r="F25" s="23" t="n">
        <x:f>IF(COUNT(E25)=1,E25*1000,"")</x:f>
        <x:v>888</x:v>
      </x:c>
      <x:c r="G25" s="26"/>
      <x:c r="H25" s="13" t="str">
        <x:v>方案尺寸；口径见项目名称，实测待填</x:v>
      </x:c>
      <x:c r="I25" s="2"/>
      <x:c r="J25" s="2" t="str">
        <x:v>style-joinery-spec.json</x:v>
      </x:c>
      <x:c r="K25" s="2" t="str">
        <x:v>/sideboard/countertop_above_floor_m</x:v>
      </x:c>
      <x:c r="L25" s="2" t="n">
        <x:v>0.888</x:v>
      </x:c>
    </x:row>
    <x:row r="26" ht="84" customHeight="1">
      <x:c r="A26" s="12" t="str">
        <x:v>C02-sideboard</x:v>
      </x:c>
      <x:c r="B26" s="12" t="str">
        <x:v>餐厅</x:v>
      </x:c>
      <x:c r="C26" s="12" t="str">
        <x:v>东墙白柜胡桃中段餐边柜</x:v>
      </x:c>
      <x:c r="D26" s="14" t="str">
        <x:v>柜体配置</x:v>
      </x:c>
      <x:c r="E26" s="22"/>
      <x:c r="F26" s="24" t="str">
        <x:f>IF(COUNT(E26)=1,E26*1000,"")</x:f>
      </x:c>
      <x:c r="G26" s="26"/>
      <x:c r="H26" s="14" t="str">
        <x:v>上浅下深、上下白色、中段胡桃色，两扇茶灰玻璃门；3个插座示意，南端与墙尾拉齐。</x:v>
      </x:c>
      <x:c r="I26" s="2"/>
      <x:c r="J26" s="2" t="str">
        <x:v>柜体与材料清单.json</x:v>
      </x:c>
      <x:c r="K26" s="2" t="str">
        <x:v>/cabinets/2/configuration</x:v>
      </x:c>
      <x:c r="L26" s="2" t="str">
        <x:v>上浅下深、上下白色、中段胡桃色，两扇茶灰玻璃门；3个插座示意，南端与墙尾拉齐。</x:v>
      </x:c>
    </x:row>
    <x:row r="27" ht="39" customHeight="1">
      <x:c r="A27" s="2" t="str">
        <x:v>C12</x:v>
      </x:c>
      <x:c r="B27" s="2" t="str">
        <x:v>餐厅</x:v>
      </x:c>
      <x:c r="C27" s="2" t="str">
        <x:v>900mm对开门冰箱包柜</x:v>
      </x:c>
      <x:c r="D27" s="13" t="str">
        <x:v>包柜外宽</x:v>
      </x:c>
      <x:c r="E27" s="21" t="n">
        <x:v>1</x:v>
      </x:c>
      <x:c r="F27" s="23" t="n">
        <x:f>IF(COUNT(E27)=1,E27*1000,"")</x:f>
        <x:v>1000</x:v>
      </x:c>
      <x:c r="G27" s="26"/>
      <x:c r="H27" s="13" t="str">
        <x:v>方案尺寸；口径见项目名称，实测待填</x:v>
      </x:c>
      <x:c r="I27" s="2"/>
      <x:c r="J27" s="2" t="str">
        <x:v>style-joinery-spec.json</x:v>
      </x:c>
      <x:c r="K27" s="2" t="str">
        <x:v>/fridge_enclosure/outer_width_m</x:v>
      </x:c>
      <x:c r="L27" s="2" t="n">
        <x:v>1</x:v>
      </x:c>
    </x:row>
    <x:row r="28" ht="39" customHeight="1">
      <x:c r="A28" s="12" t="str">
        <x:v>C12</x:v>
      </x:c>
      <x:c r="B28" s="12" t="str">
        <x:v>餐厅</x:v>
      </x:c>
      <x:c r="C28" s="12" t="str">
        <x:v>900mm对开门冰箱包柜</x:v>
      </x:c>
      <x:c r="D28" s="14" t="str">
        <x:v>包柜外深</x:v>
      </x:c>
      <x:c r="E28" s="22" t="n">
        <x:v>0.81</x:v>
      </x:c>
      <x:c r="F28" s="24" t="n">
        <x:f>IF(COUNT(E28)=1,E28*1000,"")</x:f>
        <x:v>810</x:v>
      </x:c>
      <x:c r="G28" s="26"/>
      <x:c r="H28" s="14" t="str">
        <x:v>方案尺寸；口径见项目名称，实测待填</x:v>
      </x:c>
      <x:c r="I28" s="2"/>
      <x:c r="J28" s="2" t="str">
        <x:v>style-joinery-spec.json</x:v>
      </x:c>
      <x:c r="K28" s="2" t="str">
        <x:v>/fridge_enclosure/outer_depth_m</x:v>
      </x:c>
      <x:c r="L28" s="2" t="n">
        <x:v>0.81</x:v>
      </x:c>
    </x:row>
    <x:row r="29" ht="39" customHeight="1">
      <x:c r="A29" s="2" t="str">
        <x:v>C12</x:v>
      </x:c>
      <x:c r="B29" s="2" t="str">
        <x:v>餐厅</x:v>
      </x:c>
      <x:c r="C29" s="2" t="str">
        <x:v>900mm对开门冰箱包柜</x:v>
      </x:c>
      <x:c r="D29" s="13" t="str">
        <x:v>包柜模型净宽</x:v>
      </x:c>
      <x:c r="E29" s="21" t="n">
        <x:v>0.964</x:v>
      </x:c>
      <x:c r="F29" s="23" t="n">
        <x:f>IF(COUNT(E29)=1,E29*1000,"")</x:f>
        <x:v>964</x:v>
      </x:c>
      <x:c r="G29" s="26"/>
      <x:c r="H29" s="13" t="str">
        <x:v>方案尺寸；口径见项目名称，实测待填</x:v>
      </x:c>
      <x:c r="I29" s="2"/>
      <x:c r="J29" s="2" t="str">
        <x:v>style-joinery-spec.json</x:v>
      </x:c>
      <x:c r="K29" s="2" t="str">
        <x:v>/fridge_enclosure/clear_width_m</x:v>
      </x:c>
      <x:c r="L29" s="2" t="n">
        <x:v>0.964</x:v>
      </x:c>
    </x:row>
    <x:row r="30" ht="39" customHeight="1">
      <x:c r="A30" s="12" t="str">
        <x:v>C12</x:v>
      </x:c>
      <x:c r="B30" s="12" t="str">
        <x:v>餐厅</x:v>
      </x:c>
      <x:c r="C30" s="12" t="str">
        <x:v>900mm对开门冰箱包柜</x:v>
      </x:c>
      <x:c r="D30" s="14" t="str">
        <x:v>模型每侧间隙</x:v>
      </x:c>
      <x:c r="E30" s="22" t="n">
        <x:v>0.032</x:v>
      </x:c>
      <x:c r="F30" s="24" t="n">
        <x:f>IF(COUNT(E30)=1,E30*1000,"")</x:f>
        <x:v>32</x:v>
      </x:c>
      <x:c r="G30" s="26"/>
      <x:c r="H30" s="14" t="str">
        <x:v>方案尺寸；口径见项目名称，实测待填</x:v>
      </x:c>
      <x:c r="I30" s="2"/>
      <x:c r="J30" s="2" t="str">
        <x:v>style-joinery-spec.json</x:v>
      </x:c>
      <x:c r="K30" s="2" t="str">
        <x:v>/fridge_enclosure/clearance_each_side_m</x:v>
      </x:c>
      <x:c r="L30" s="2" t="n">
        <x:v>0.032</x:v>
      </x:c>
    </x:row>
    <x:row r="31" ht="39" customHeight="1">
      <x:c r="A31" s="2" t="str">
        <x:v>C12</x:v>
      </x:c>
      <x:c r="B31" s="2" t="str">
        <x:v>餐厅</x:v>
      </x:c>
      <x:c r="C31" s="2" t="str">
        <x:v>900mm对开门冰箱包柜</x:v>
      </x:c>
      <x:c r="D31" s="13" t="str">
        <x:v>柜顶绝对Z</x:v>
      </x:c>
      <x:c r="E31" s="21" t="n">
        <x:v>2.8</x:v>
      </x:c>
      <x:c r="F31" s="23" t="n">
        <x:f>IF(COUNT(E31)=1,E31*1000,"")</x:f>
        <x:v>2800</x:v>
      </x:c>
      <x:c r="G31" s="26"/>
      <x:c r="H31" s="13" t="str">
        <x:v>方案尺寸；口径见项目名称，实测待填</x:v>
      </x:c>
      <x:c r="I31" s="2"/>
      <x:c r="J31" s="2" t="str">
        <x:v>style-joinery-spec.json</x:v>
      </x:c>
      <x:c r="K31" s="2" t="str">
        <x:v>/fridge_enclosure/top_m</x:v>
      </x:c>
      <x:c r="L31" s="2" t="n">
        <x:v>2.8</x:v>
      </x:c>
    </x:row>
    <x:row r="32" ht="39" customHeight="1">
      <x:c r="A32" s="12" t="str">
        <x:v>C12</x:v>
      </x:c>
      <x:c r="B32" s="12" t="str">
        <x:v>餐厅</x:v>
      </x:c>
      <x:c r="C32" s="12" t="str">
        <x:v>900mm对开门冰箱包柜</x:v>
      </x:c>
      <x:c r="D32" s="14" t="str">
        <x:v>用户给定冰箱宽</x:v>
      </x:c>
      <x:c r="E32" s="22" t="n">
        <x:v>0.9</x:v>
      </x:c>
      <x:c r="F32" s="24" t="n">
        <x:f>IF(COUNT(E32)=1,E32*1000,"")</x:f>
        <x:v>900</x:v>
      </x:c>
      <x:c r="G32" s="26"/>
      <x:c r="H32" s="14" t="str">
        <x:v>方案尺寸；口径见项目名称，实测待填</x:v>
      </x:c>
      <x:c r="I32" s="2"/>
      <x:c r="J32" s="2" t="str">
        <x:v>style-joinery-spec.json</x:v>
      </x:c>
      <x:c r="K32" s="2" t="str">
        <x:v>/fridge_enclosure/user_confirmed_width_m</x:v>
      </x:c>
      <x:c r="L32" s="2" t="n">
        <x:v>0.9</x:v>
      </x:c>
    </x:row>
    <x:row r="33" ht="84" customHeight="1">
      <x:c r="A33" s="2" t="str">
        <x:v>C12</x:v>
      </x:c>
      <x:c r="B33" s="2" t="str">
        <x:v>餐厅</x:v>
      </x:c>
      <x:c r="C33" s="2" t="str">
        <x:v>900mm对开门冰箱包柜</x:v>
      </x:c>
      <x:c r="D33" s="13" t="str">
        <x:v>柜体配置</x:v>
      </x:c>
      <x:c r="E33" s="21"/>
      <x:c r="F33" s="23" t="str">
        <x:f>IF(COUNT(E33)=1,E33*1000,"")</x:f>
      </x:c>
      <x:c r="G33" s="26"/>
      <x:c r="H33" s="13" t="str">
        <x:v>白色包冰箱柜，背后保持开放。</x:v>
      </x:c>
      <x:c r="I33" s="2"/>
      <x:c r="J33" s="2" t="str">
        <x:v>柜体与材料清单.json</x:v>
      </x:c>
      <x:c r="K33" s="2" t="str">
        <x:v>/cabinets/3/configuration</x:v>
      </x:c>
      <x:c r="L33" s="2" t="str">
        <x:v>白色包冰箱柜，背后保持开放。</x:v>
      </x:c>
    </x:row>
    <x:row r="34" ht="39" customHeight="1">
      <x:c r="A34" s="12" t="str">
        <x:v>C01-entry</x:v>
      </x:c>
      <x:c r="B34" s="12" t="str">
        <x:v>玄关</x:v>
      </x:c>
      <x:c r="C34" s="12" t="str">
        <x:v>入户挂衣、鞋柜及玄关开放龛组合</x:v>
      </x:c>
      <x:c r="D34" s="14" t="str">
        <x:v>组合通长</x:v>
      </x:c>
      <x:c r="E34" s="22" t="n">
        <x:v>1.14</x:v>
      </x:c>
      <x:c r="F34" s="24" t="n">
        <x:f>IF(COUNT(E34)=1,E34*1000,"")</x:f>
        <x:v>1140</x:v>
      </x:c>
      <x:c r="G34" s="26"/>
      <x:c r="H34" s="14" t="str">
        <x:v>方案尺寸；口径见项目名称，实测待填</x:v>
      </x:c>
      <x:c r="I34" s="2"/>
      <x:c r="J34" s="2" t="str">
        <x:v>dining-entry-spec-v10.json</x:v>
      </x:c>
      <x:c r="K34" s="2" t="str">
        <x:v>/entry/width_proposal_m</x:v>
      </x:c>
      <x:c r="L34" s="2" t="n">
        <x:v>1.14</x:v>
      </x:c>
    </x:row>
    <x:row r="35" ht="39" customHeight="1">
      <x:c r="A35" s="2" t="str">
        <x:v>C01-entry</x:v>
      </x:c>
      <x:c r="B35" s="2" t="str">
        <x:v>玄关</x:v>
      </x:c>
      <x:c r="C35" s="2" t="str">
        <x:v>入户挂衣、鞋柜及玄关开放龛组合</x:v>
      </x:c>
      <x:c r="D35" s="13" t="str">
        <x:v>浅柜深度</x:v>
      </x:c>
      <x:c r="E35" s="21" t="n">
        <x:v>0.35</x:v>
      </x:c>
      <x:c r="F35" s="23" t="n">
        <x:f>IF(COUNT(E35)=1,E35*1000,"")</x:f>
        <x:v>350</x:v>
      </x:c>
      <x:c r="G35" s="26"/>
      <x:c r="H35" s="13" t="str">
        <x:v>方案尺寸；口径见项目名称，实测待填</x:v>
      </x:c>
      <x:c r="I35" s="2"/>
      <x:c r="J35" s="2" t="str">
        <x:v>dining-entry-spec-v10.json</x:v>
      </x:c>
      <x:c r="K35" s="2" t="str">
        <x:v>/entry/depth_proposal_m</x:v>
      </x:c>
      <x:c r="L35" s="2" t="n">
        <x:v>0.35</x:v>
      </x:c>
    </x:row>
    <x:row r="36" ht="39" customHeight="1">
      <x:c r="A36" s="12" t="str">
        <x:v>C01-entry</x:v>
      </x:c>
      <x:c r="B36" s="12" t="str">
        <x:v>玄关</x:v>
      </x:c>
      <x:c r="C36" s="12" t="str">
        <x:v>入户挂衣、鞋柜及玄关开放龛组合</x:v>
      </x:c>
      <x:c r="D36" s="14" t="str">
        <x:v>柜顶绝对Z</x:v>
      </x:c>
      <x:c r="E36" s="22" t="n">
        <x:v>2.3</x:v>
      </x:c>
      <x:c r="F36" s="24" t="n">
        <x:f>IF(COUNT(E36)=1,E36*1000,"")</x:f>
        <x:v>2300</x:v>
      </x:c>
      <x:c r="G36" s="26"/>
      <x:c r="H36" s="14" t="str">
        <x:v>方案尺寸；口径见项目名称，实测待填</x:v>
      </x:c>
      <x:c r="I36" s="2"/>
      <x:c r="J36" s="2" t="str">
        <x:v>dining-entry-spec-v10.json</x:v>
      </x:c>
      <x:c r="K36" s="2" t="str">
        <x:v>/entry/top_proposal_m</x:v>
      </x:c>
      <x:c r="L36" s="2" t="n">
        <x:v>2.3</x:v>
      </x:c>
    </x:row>
    <x:row r="37" ht="39" customHeight="1">
      <x:c r="A37" s="2" t="str">
        <x:v>C01-entry</x:v>
      </x:c>
      <x:c r="B37" s="2" t="str">
        <x:v>玄关</x:v>
      </x:c>
      <x:c r="C37" s="2" t="str">
        <x:v>入户挂衣、鞋柜及玄关开放龛组合</x:v>
      </x:c>
      <x:c r="D37" s="13" t="str">
        <x:v>北侧挂衣分区宽</x:v>
      </x:c>
      <x:c r="E37" s="21" t="n">
        <x:v>0.4</x:v>
      </x:c>
      <x:c r="F37" s="23" t="n">
        <x:f>IF(COUNT(E37)=1,E37*1000,"")</x:f>
        <x:v>400</x:v>
      </x:c>
      <x:c r="G37" s="26"/>
      <x:c r="H37" s="13" t="str">
        <x:v>方案尺寸；口径见项目名称，实测待填</x:v>
      </x:c>
      <x:c r="I37" s="2"/>
      <x:c r="J37" s="2" t="str">
        <x:v>dining-entry-spec-v10.json</x:v>
      </x:c>
      <x:c r="K37" s="2" t="str">
        <x:v>/entry/north_coat_zone_width_m</x:v>
      </x:c>
      <x:c r="L37" s="2" t="n">
        <x:v>0.4</x:v>
      </x:c>
    </x:row>
    <x:row r="38" ht="39" customHeight="1">
      <x:c r="A38" s="12" t="str">
        <x:v>C01-entry</x:v>
      </x:c>
      <x:c r="B38" s="12" t="str">
        <x:v>玄关</x:v>
      </x:c>
      <x:c r="C38" s="12" t="str">
        <x:v>入户挂衣、鞋柜及玄关开放龛组合</x:v>
      </x:c>
      <x:c r="D38" s="14" t="str">
        <x:v>南侧鞋柜与开放龛分区宽</x:v>
      </x:c>
      <x:c r="E38" s="22" t="n">
        <x:v>0.74</x:v>
      </x:c>
      <x:c r="F38" s="24" t="n">
        <x:f>IF(COUNT(E38)=1,E38*1000,"")</x:f>
        <x:v>740</x:v>
      </x:c>
      <x:c r="G38" s="26"/>
      <x:c r="H38" s="14" t="str">
        <x:v>方案尺寸；口径见项目名称，实测待填</x:v>
      </x:c>
      <x:c r="I38" s="2"/>
      <x:c r="J38" s="2" t="str">
        <x:v>dining-entry-spec-v10.json</x:v>
      </x:c>
      <x:c r="K38" s="2" t="str">
        <x:v>/entry/south_shoes_and_niche_width_m</x:v>
      </x:c>
      <x:c r="L38" s="2" t="n">
        <x:v>0.74</x:v>
      </x:c>
    </x:row>
    <x:row r="39" ht="84" customHeight="1">
      <x:c r="A39" s="2" t="str">
        <x:v>C01-entry</x:v>
      </x:c>
      <x:c r="B39" s="2" t="str">
        <x:v>玄关</x:v>
      </x:c>
      <x:c r="C39" s="2" t="str">
        <x:v>入户挂衣、鞋柜及玄关开放龛组合</x:v>
      </x:c>
      <x:c r="D39" s="13" t="str">
        <x:v>柜体配置</x:v>
      </x:c>
      <x:c r="E39" s="21"/>
      <x:c r="F39" s="23" t="str">
        <x:f>IF(COUNT(E39)=1,E39*1000,"")</x:f>
      </x:c>
      <x:c r="G39" s="26"/>
      <x:c r="H39" s="13" t="str">
        <x:v>白色柜门、玄关下柜白色，少量胡桃开放龛；浅柜前后伸缩挂衣杆提案。</x:v>
      </x:c>
      <x:c r="I39" s="2"/>
      <x:c r="J39" s="2" t="str">
        <x:v>柜体与材料清单.json</x:v>
      </x:c>
      <x:c r="K39" s="2" t="str">
        <x:v>/cabinets/4/configuration</x:v>
      </x:c>
      <x:c r="L39" s="2" t="str">
        <x:v>白色柜门、玄关下柜白色，少量胡桃开放龛；浅柜前后伸缩挂衣杆提案。</x:v>
      </x:c>
    </x:row>
    <x:row r="40" ht="39" customHeight="1">
      <x:c r="A40" s="12" t="str">
        <x:v>C07</x:v>
      </x:c>
      <x:c r="B40" s="12" t="str">
        <x:v>厨房</x:v>
      </x:c>
      <x:c r="C40" s="12" t="str">
        <x:v>厨房西侧地柜</x:v>
      </x:c>
      <x:c r="D40" s="14" t="str">
        <x:v>柜段方案宽</x:v>
      </x:c>
      <x:c r="E40" s="22" t="n">
        <x:v>1.48</x:v>
      </x:c>
      <x:c r="F40" s="24" t="n">
        <x:f>IF(COUNT(E40)=1,E40*1000,"")</x:f>
        <x:v>1480</x:v>
      </x:c>
      <x:c r="G40" s="26"/>
      <x:c r="H40" s="14" t="str">
        <x:v>方案尺寸；口径见项目名称，实测待填</x:v>
      </x:c>
      <x:c r="I40" s="2"/>
      <x:c r="J40" s="2" t="str">
        <x:v>cabinet-schedule.json</x:v>
      </x:c>
      <x:c r="K40" s="2" t="str">
        <x:v>/1/width</x:v>
      </x:c>
      <x:c r="L40" s="2" t="n">
        <x:v>1.48</x:v>
      </x:c>
    </x:row>
    <x:row r="41" ht="39" customHeight="1">
      <x:c r="A41" s="2" t="str">
        <x:v>C07</x:v>
      </x:c>
      <x:c r="B41" s="2" t="str">
        <x:v>厨房</x:v>
      </x:c>
      <x:c r="C41" s="2" t="str">
        <x:v>厨房西侧地柜</x:v>
      </x:c>
      <x:c r="D41" s="13" t="str">
        <x:v>柜段方案深</x:v>
      </x:c>
      <x:c r="E41" s="21" t="n">
        <x:v>0.58</x:v>
      </x:c>
      <x:c r="F41" s="23" t="n">
        <x:f>IF(COUNT(E41)=1,E41*1000,"")</x:f>
        <x:v>580</x:v>
      </x:c>
      <x:c r="G41" s="26"/>
      <x:c r="H41" s="13" t="str">
        <x:v>方案尺寸；口径见项目名称，实测待填</x:v>
      </x:c>
      <x:c r="I41" s="2"/>
      <x:c r="J41" s="2" t="str">
        <x:v>cabinet-schedule.json</x:v>
      </x:c>
      <x:c r="K41" s="2" t="str">
        <x:v>/1/depth</x:v>
      </x:c>
      <x:c r="L41" s="2" t="n">
        <x:v>0.58</x:v>
      </x:c>
    </x:row>
    <x:row r="42" ht="39" customHeight="1">
      <x:c r="A42" s="12" t="str">
        <x:v>C07</x:v>
      </x:c>
      <x:c r="B42" s="12" t="str">
        <x:v>厨房</x:v>
      </x:c>
      <x:c r="C42" s="12" t="str">
        <x:v>厨房西侧地柜</x:v>
      </x:c>
      <x:c r="D42" s="14" t="str">
        <x:v>柜段方案高度</x:v>
      </x:c>
      <x:c r="E42" s="22" t="n">
        <x:v>0.84</x:v>
      </x:c>
      <x:c r="F42" s="24" t="n">
        <x:f>IF(COUNT(E42)=1,E42*1000,"")</x:f>
        <x:v>840</x:v>
      </x:c>
      <x:c r="G42" s="26"/>
      <x:c r="H42" s="14" t="str">
        <x:v>方案尺寸；口径见项目名称，实测待填</x:v>
      </x:c>
      <x:c r="I42" s="2"/>
      <x:c r="J42" s="2" t="str">
        <x:v>cabinet-schedule.json</x:v>
      </x:c>
      <x:c r="K42" s="2" t="str">
        <x:v>/1/height</x:v>
      </x:c>
      <x:c r="L42" s="2" t="n">
        <x:v>0.84</x:v>
      </x:c>
    </x:row>
    <x:row r="43" ht="39" customHeight="1">
      <x:c r="A43" s="2" t="str">
        <x:v>C07</x:v>
      </x:c>
      <x:c r="B43" s="2" t="str">
        <x:v>厨房</x:v>
      </x:c>
      <x:c r="C43" s="2" t="str">
        <x:v>厨房西侧地柜</x:v>
      </x:c>
      <x:c r="D43" s="13" t="str">
        <x:v>柜底绝对Z</x:v>
      </x:c>
      <x:c r="E43" s="21" t="n">
        <x:v>0</x:v>
      </x:c>
      <x:c r="F43" s="23" t="n">
        <x:f>IF(COUNT(E43)=1,E43*1000,"")</x:f>
        <x:v>0</x:v>
      </x:c>
      <x:c r="G43" s="26"/>
      <x:c r="H43" s="13" t="str">
        <x:v>方案尺寸；口径见项目名称，实测待填</x:v>
      </x:c>
      <x:c r="I43" s="2"/>
      <x:c r="J43" s="2" t="str">
        <x:v>cabinet-schedule.json</x:v>
      </x:c>
      <x:c r="K43" s="2" t="str">
        <x:v>/1/zbase</x:v>
      </x:c>
      <x:c r="L43" s="2" t="n">
        <x:v>0</x:v>
      </x:c>
    </x:row>
    <x:row r="44" ht="84" customHeight="1">
      <x:c r="A44" s="12" t="str">
        <x:v>C07</x:v>
      </x:c>
      <x:c r="B44" s="12" t="str">
        <x:v>厨房</x:v>
      </x:c>
      <x:c r="C44" s="12" t="str">
        <x:v>厨房西侧地柜</x:v>
      </x:c>
      <x:c r="D44" s="14" t="str">
        <x:v>柜体配置</x:v>
      </x:c>
      <x:c r="E44" s="22"/>
      <x:c r="F44" s="24" t="str">
        <x:f>IF(COUNT(E44)=1,E44*1000,"")</x:f>
      </x:c>
      <x:c r="G44" s="26"/>
      <x:c r="H44" s="14" t="str">
        <x:v>灶台、抽屉及地柜</x:v>
      </x:c>
      <x:c r="I44" s="2"/>
      <x:c r="J44" s="2" t="str">
        <x:v>柜体与材料清单.json</x:v>
      </x:c>
      <x:c r="K44" s="2" t="str">
        <x:v>/cabinets/5/configuration</x:v>
      </x:c>
      <x:c r="L44" s="2" t="str">
        <x:v>灶台、抽屉及地柜</x:v>
      </x:c>
    </x:row>
    <x:row r="45" ht="39" customHeight="1">
      <x:c r="A45" s="2" t="str">
        <x:v>C08</x:v>
      </x:c>
      <x:c r="B45" s="2" t="str">
        <x:v>厨房</x:v>
      </x:c>
      <x:c r="C45" s="2" t="str">
        <x:v>厨房北侧水槽地柜</x:v>
      </x:c>
      <x:c r="D45" s="13" t="str">
        <x:v>柜段方案宽</x:v>
      </x:c>
      <x:c r="E45" s="21" t="n">
        <x:v>2.86</x:v>
      </x:c>
      <x:c r="F45" s="23" t="n">
        <x:f>IF(COUNT(E45)=1,E45*1000,"")</x:f>
        <x:v>2860</x:v>
      </x:c>
      <x:c r="G45" s="26"/>
      <x:c r="H45" s="13" t="str">
        <x:v>方案尺寸；口径见项目名称，实测待填</x:v>
      </x:c>
      <x:c r="I45" s="2"/>
      <x:c r="J45" s="2" t="str">
        <x:v>cabinet-schedule.json</x:v>
      </x:c>
      <x:c r="K45" s="2" t="str">
        <x:v>/2/width</x:v>
      </x:c>
      <x:c r="L45" s="2" t="n">
        <x:v>2.86</x:v>
      </x:c>
    </x:row>
    <x:row r="46" ht="39" customHeight="1">
      <x:c r="A46" s="12" t="str">
        <x:v>C08</x:v>
      </x:c>
      <x:c r="B46" s="12" t="str">
        <x:v>厨房</x:v>
      </x:c>
      <x:c r="C46" s="12" t="str">
        <x:v>厨房北侧水槽地柜</x:v>
      </x:c>
      <x:c r="D46" s="14" t="str">
        <x:v>柜段方案深</x:v>
      </x:c>
      <x:c r="E46" s="22" t="n">
        <x:v>0.58</x:v>
      </x:c>
      <x:c r="F46" s="24" t="n">
        <x:f>IF(COUNT(E46)=1,E46*1000,"")</x:f>
        <x:v>580</x:v>
      </x:c>
      <x:c r="G46" s="26"/>
      <x:c r="H46" s="14" t="str">
        <x:v>方案尺寸；口径见项目名称，实测待填</x:v>
      </x:c>
      <x:c r="I46" s="2"/>
      <x:c r="J46" s="2" t="str">
        <x:v>cabinet-schedule.json</x:v>
      </x:c>
      <x:c r="K46" s="2" t="str">
        <x:v>/2/depth</x:v>
      </x:c>
      <x:c r="L46" s="2" t="n">
        <x:v>0.58</x:v>
      </x:c>
    </x:row>
    <x:row r="47" ht="39" customHeight="1">
      <x:c r="A47" s="2" t="str">
        <x:v>C08</x:v>
      </x:c>
      <x:c r="B47" s="2" t="str">
        <x:v>厨房</x:v>
      </x:c>
      <x:c r="C47" s="2" t="str">
        <x:v>厨房北侧水槽地柜</x:v>
      </x:c>
      <x:c r="D47" s="13" t="str">
        <x:v>柜段方案高度</x:v>
      </x:c>
      <x:c r="E47" s="21" t="n">
        <x:v>0.84</x:v>
      </x:c>
      <x:c r="F47" s="23" t="n">
        <x:f>IF(COUNT(E47)=1,E47*1000,"")</x:f>
        <x:v>840</x:v>
      </x:c>
      <x:c r="G47" s="26"/>
      <x:c r="H47" s="13" t="str">
        <x:v>方案尺寸；口径见项目名称，实测待填</x:v>
      </x:c>
      <x:c r="I47" s="2"/>
      <x:c r="J47" s="2" t="str">
        <x:v>cabinet-schedule.json</x:v>
      </x:c>
      <x:c r="K47" s="2" t="str">
        <x:v>/2/height</x:v>
      </x:c>
      <x:c r="L47" s="2" t="n">
        <x:v>0.84</x:v>
      </x:c>
    </x:row>
    <x:row r="48" ht="39" customHeight="1">
      <x:c r="A48" s="12" t="str">
        <x:v>C08</x:v>
      </x:c>
      <x:c r="B48" s="12" t="str">
        <x:v>厨房</x:v>
      </x:c>
      <x:c r="C48" s="12" t="str">
        <x:v>厨房北侧水槽地柜</x:v>
      </x:c>
      <x:c r="D48" s="14" t="str">
        <x:v>柜底绝对Z</x:v>
      </x:c>
      <x:c r="E48" s="22" t="n">
        <x:v>0</x:v>
      </x:c>
      <x:c r="F48" s="24" t="n">
        <x:f>IF(COUNT(E48)=1,E48*1000,"")</x:f>
        <x:v>0</x:v>
      </x:c>
      <x:c r="G48" s="26"/>
      <x:c r="H48" s="14" t="str">
        <x:v>方案尺寸；口径见项目名称，实测待填</x:v>
      </x:c>
      <x:c r="I48" s="2"/>
      <x:c r="J48" s="2" t="str">
        <x:v>cabinet-schedule.json</x:v>
      </x:c>
      <x:c r="K48" s="2" t="str">
        <x:v>/2/zbase</x:v>
      </x:c>
      <x:c r="L48" s="2" t="n">
        <x:v>0</x:v>
      </x:c>
    </x:row>
    <x:row r="49" ht="84" customHeight="1">
      <x:c r="A49" s="2" t="str">
        <x:v>C08</x:v>
      </x:c>
      <x:c r="B49" s="2" t="str">
        <x:v>厨房</x:v>
      </x:c>
      <x:c r="C49" s="2" t="str">
        <x:v>厨房北侧水槽地柜</x:v>
      </x:c>
      <x:c r="D49" s="13" t="str">
        <x:v>柜体配置</x:v>
      </x:c>
      <x:c r="E49" s="21"/>
      <x:c r="F49" s="23" t="str">
        <x:f>IF(COUNT(E49)=1,E49*1000,"")</x:f>
      </x:c>
      <x:c r="G49" s="26"/>
      <x:c r="H49" s="13" t="str">
        <x:v>窗下水槽及地柜；台面转角衔接西柜，柜身留收口；现模型窗台850，台面暂840，实测后定高</x:v>
      </x:c>
      <x:c r="I49" s="2"/>
      <x:c r="J49" s="2" t="str">
        <x:v>柜体与材料清单.json</x:v>
      </x:c>
      <x:c r="K49" s="2" t="str">
        <x:v>/cabinets/6/configuration</x:v>
      </x:c>
      <x:c r="L49" s="2" t="str">
        <x:v>窗下水槽及地柜；台面转角衔接西柜，柜身留收口；现模型窗台850，台面暂840，实测后定高</x:v>
      </x:c>
    </x:row>
    <x:row r="50" ht="39" customHeight="1">
      <x:c r="A50" s="12" t="str">
        <x:v>C09</x:v>
      </x:c>
      <x:c r="B50" s="12" t="str">
        <x:v>厨房</x:v>
      </x:c>
      <x:c r="C50" s="12" t="str">
        <x:v>厨房西侧吊柜</x:v>
      </x:c>
      <x:c r="D50" s="14" t="str">
        <x:v>柜段方案宽</x:v>
      </x:c>
      <x:c r="E50" s="22" t="n">
        <x:v>0.58</x:v>
      </x:c>
      <x:c r="F50" s="24" t="n">
        <x:f>IF(COUNT(E50)=1,E50*1000,"")</x:f>
        <x:v>580</x:v>
      </x:c>
      <x:c r="G50" s="26"/>
      <x:c r="H50" s="14" t="str">
        <x:v>方案尺寸；口径见项目名称，实测待填</x:v>
      </x:c>
      <x:c r="I50" s="2"/>
      <x:c r="J50" s="2" t="str">
        <x:v>cabinet-schedule.json</x:v>
      </x:c>
      <x:c r="K50" s="2" t="str">
        <x:v>/3/width</x:v>
      </x:c>
      <x:c r="L50" s="2" t="n">
        <x:v>0.58</x:v>
      </x:c>
    </x:row>
    <x:row r="51" ht="39" customHeight="1">
      <x:c r="A51" s="2" t="str">
        <x:v>C09</x:v>
      </x:c>
      <x:c r="B51" s="2" t="str">
        <x:v>厨房</x:v>
      </x:c>
      <x:c r="C51" s="2" t="str">
        <x:v>厨房西侧吊柜</x:v>
      </x:c>
      <x:c r="D51" s="13" t="str">
        <x:v>柜段方案深</x:v>
      </x:c>
      <x:c r="E51" s="21" t="n">
        <x:v>0.3</x:v>
      </x:c>
      <x:c r="F51" s="23" t="n">
        <x:f>IF(COUNT(E51)=1,E51*1000,"")</x:f>
        <x:v>300</x:v>
      </x:c>
      <x:c r="G51" s="26"/>
      <x:c r="H51" s="13" t="str">
        <x:v>方案尺寸；口径见项目名称，实测待填</x:v>
      </x:c>
      <x:c r="I51" s="2"/>
      <x:c r="J51" s="2" t="str">
        <x:v>cabinet-schedule.json</x:v>
      </x:c>
      <x:c r="K51" s="2" t="str">
        <x:v>/3/depth</x:v>
      </x:c>
      <x:c r="L51" s="2" t="n">
        <x:v>0.3</x:v>
      </x:c>
    </x:row>
    <x:row r="52" ht="39" customHeight="1">
      <x:c r="A52" s="12" t="str">
        <x:v>C09</x:v>
      </x:c>
      <x:c r="B52" s="12" t="str">
        <x:v>厨房</x:v>
      </x:c>
      <x:c r="C52" s="12" t="str">
        <x:v>厨房西侧吊柜</x:v>
      </x:c>
      <x:c r="D52" s="14" t="str">
        <x:v>柜段方案高度</x:v>
      </x:c>
      <x:c r="E52" s="22" t="n">
        <x:v>0.9</x:v>
      </x:c>
      <x:c r="F52" s="24" t="n">
        <x:f>IF(COUNT(E52)=1,E52*1000,"")</x:f>
        <x:v>900</x:v>
      </x:c>
      <x:c r="G52" s="26"/>
      <x:c r="H52" s="14" t="str">
        <x:v>方案尺寸；口径见项目名称，实测待填</x:v>
      </x:c>
      <x:c r="I52" s="2"/>
      <x:c r="J52" s="2" t="str">
        <x:v>cabinet-schedule.json</x:v>
      </x:c>
      <x:c r="K52" s="2" t="str">
        <x:v>/3/height</x:v>
      </x:c>
      <x:c r="L52" s="2" t="n">
        <x:v>0.9</x:v>
      </x:c>
    </x:row>
    <x:row r="53" ht="39" customHeight="1">
      <x:c r="A53" s="2" t="str">
        <x:v>C09</x:v>
      </x:c>
      <x:c r="B53" s="2" t="str">
        <x:v>厨房</x:v>
      </x:c>
      <x:c r="C53" s="2" t="str">
        <x:v>厨房西侧吊柜</x:v>
      </x:c>
      <x:c r="D53" s="13" t="str">
        <x:v>柜底绝对Z</x:v>
      </x:c>
      <x:c r="E53" s="21" t="n">
        <x:v>1.72</x:v>
      </x:c>
      <x:c r="F53" s="23" t="n">
        <x:f>IF(COUNT(E53)=1,E53*1000,"")</x:f>
        <x:v>1720</x:v>
      </x:c>
      <x:c r="G53" s="26"/>
      <x:c r="H53" s="13" t="str">
        <x:v>方案尺寸；口径见项目名称，实测待填</x:v>
      </x:c>
      <x:c r="I53" s="2"/>
      <x:c r="J53" s="2" t="str">
        <x:v>cabinet-schedule.json</x:v>
      </x:c>
      <x:c r="K53" s="2" t="str">
        <x:v>/3/zbase</x:v>
      </x:c>
      <x:c r="L53" s="2" t="n">
        <x:v>1.72</x:v>
      </x:c>
    </x:row>
    <x:row r="54" ht="84" customHeight="1">
      <x:c r="A54" s="12" t="str">
        <x:v>C09</x:v>
      </x:c>
      <x:c r="B54" s="12" t="str">
        <x:v>厨房</x:v>
      </x:c>
      <x:c r="C54" s="12" t="str">
        <x:v>厨房西侧吊柜</x:v>
      </x:c>
      <x:c r="D54" s="14" t="str">
        <x:v>柜体配置</x:v>
      </x:c>
      <x:c r="E54" s="22"/>
      <x:c r="F54" s="24" t="str">
        <x:f>IF(COUNT(E54)=1,E54*1000,"")</x:f>
      </x:c>
      <x:c r="G54" s="26"/>
      <x:c r="H54" s="14" t="str">
        <x:v>灶台北侧，避开烟机，柜顶留收口位</x:v>
      </x:c>
      <x:c r="I54" s="2"/>
      <x:c r="J54" s="2" t="str">
        <x:v>柜体与材料清单.json</x:v>
      </x:c>
      <x:c r="K54" s="2" t="str">
        <x:v>/cabinets/7/configuration</x:v>
      </x:c>
      <x:c r="L54" s="2" t="str">
        <x:v>灶台北侧，避开烟机，柜顶留收口位</x:v>
      </x:c>
    </x:row>
    <x:row r="55" ht="39" customHeight="1">
      <x:c r="A55" s="2" t="str">
        <x:v>C13</x:v>
      </x:c>
      <x:c r="B55" s="2" t="str">
        <x:v>厨房</x:v>
      </x:c>
      <x:c r="C55" s="2" t="str">
        <x:v>厨房东返地柜，三面U形连续柜</x:v>
      </x:c>
      <x:c r="D55" s="13" t="str">
        <x:v>东返柜直段长度</x:v>
      </x:c>
      <x:c r="E55" s="21" t="n">
        <x:v>1.051714935303</x:v>
      </x:c>
      <x:c r="F55" s="23" t="n">
        <x:f>IF(COUNT(E55)=1,E55*1000,"")</x:f>
        <x:v>1051.714935303</x:v>
      </x:c>
      <x:c r="G55" s="26"/>
      <x:c r="H55" s="13" t="str">
        <x:v>方案尺寸；口径见项目名称，实测待填</x:v>
      </x:c>
      <x:c r="I55" s="2"/>
      <x:c r="J55" s="2" t="str">
        <x:v>wetrooms-kitchen-spec-v10.json</x:v>
      </x:c>
      <x:c r="K55" s="2" t="str">
        <x:v>/kitchen/east_run_length_m</x:v>
      </x:c>
      <x:c r="L55" s="2" t="n">
        <x:v>1.051714935303</x:v>
      </x:c>
    </x:row>
    <x:row r="56" ht="39" customHeight="1">
      <x:c r="A56" s="12" t="str">
        <x:v>C13</x:v>
      </x:c>
      <x:c r="B56" s="12" t="str">
        <x:v>厨房</x:v>
      </x:c>
      <x:c r="C56" s="12" t="str">
        <x:v>厨房东返地柜，三面U形连续柜</x:v>
      </x:c>
      <x:c r="D56" s="14" t="str">
        <x:v>东返柜身深度</x:v>
      </x:c>
      <x:c r="E56" s="22" t="n">
        <x:v>0.58</x:v>
      </x:c>
      <x:c r="F56" s="24" t="n">
        <x:f>IF(COUNT(E56)=1,E56*1000,"")</x:f>
        <x:v>580</x:v>
      </x:c>
      <x:c r="G56" s="26"/>
      <x:c r="H56" s="14" t="str">
        <x:v>方案尺寸；口径见项目名称，实测待填</x:v>
      </x:c>
      <x:c r="I56" s="2"/>
      <x:c r="J56" s="2" t="str">
        <x:v>wetrooms-kitchen-spec-v10.json</x:v>
      </x:c>
      <x:c r="K56" s="2" t="str">
        <x:v>/kitchen/east_case_depth_m</x:v>
      </x:c>
      <x:c r="L56" s="2" t="n">
        <x:v>0.58</x:v>
      </x:c>
    </x:row>
    <x:row r="57" ht="39" customHeight="1">
      <x:c r="A57" s="2" t="str">
        <x:v>C13</x:v>
      </x:c>
      <x:c r="B57" s="2" t="str">
        <x:v>厨房</x:v>
      </x:c>
      <x:c r="C57" s="2" t="str">
        <x:v>厨房东返地柜，三面U形连续柜</x:v>
      </x:c>
      <x:c r="D57" s="13" t="str">
        <x:v>东返台面深度</x:v>
      </x:c>
      <x:c r="E57" s="21" t="n">
        <x:v>0.602</x:v>
      </x:c>
      <x:c r="F57" s="23" t="n">
        <x:f>IF(COUNT(E57)=1,E57*1000,"")</x:f>
        <x:v>602</x:v>
      </x:c>
      <x:c r="G57" s="26"/>
      <x:c r="H57" s="13" t="str">
        <x:v>方案尺寸；口径见项目名称，实测待填</x:v>
      </x:c>
      <x:c r="I57" s="2"/>
      <x:c r="J57" s="2" t="str">
        <x:v>wetrooms-kitchen-spec-v10.json</x:v>
      </x:c>
      <x:c r="K57" s="2" t="str">
        <x:v>/kitchen/east_counter_depth_m</x:v>
      </x:c>
      <x:c r="L57" s="2" t="n">
        <x:v>0.602</x:v>
      </x:c>
    </x:row>
    <x:row r="58" ht="39" customHeight="1">
      <x:c r="A58" s="12" t="str">
        <x:v>C13</x:v>
      </x:c>
      <x:c r="B58" s="12" t="str">
        <x:v>厨房</x:v>
      </x:c>
      <x:c r="C58" s="12" t="str">
        <x:v>厨房东返地柜，三面U形连续柜</x:v>
      </x:c>
      <x:c r="D58" s="14" t="str">
        <x:v>台面顶绝对Z</x:v>
      </x:c>
      <x:c r="E58" s="22" t="n">
        <x:v>0.845499992371</x:v>
      </x:c>
      <x:c r="F58" s="24" t="n">
        <x:f>IF(COUNT(E58)=1,E58*1000,"")</x:f>
        <x:v>845.4999923710001</x:v>
      </x:c>
      <x:c r="G58" s="26"/>
      <x:c r="H58" s="14" t="str">
        <x:v>方案尺寸；口径见项目名称，实测待填</x:v>
      </x:c>
      <x:c r="I58" s="2"/>
      <x:c r="J58" s="2" t="str">
        <x:v>wetrooms-kitchen-spec-v10.json</x:v>
      </x:c>
      <x:c r="K58" s="2" t="str">
        <x:v>/kitchen/counter_top_absolute_m</x:v>
      </x:c>
      <x:c r="L58" s="2" t="n">
        <x:v>0.845499992371</x:v>
      </x:c>
    </x:row>
    <x:row r="59" ht="84" customHeight="1">
      <x:c r="A59" s="2" t="str">
        <x:v>C13</x:v>
      </x:c>
      <x:c r="B59" s="2" t="str">
        <x:v>厨房</x:v>
      </x:c>
      <x:c r="C59" s="2" t="str">
        <x:v>厨房东返地柜，三面U形连续柜</x:v>
      </x:c>
      <x:c r="D59" s="13" t="str">
        <x:v>柜体配置</x:v>
      </x:c>
      <x:c r="E59" s="21"/>
      <x:c r="F59" s="23" t="str">
        <x:f>IF(COUNT(E59)=1,E59*1000,"")</x:f>
      </x:c>
      <x:c r="G59" s="26"/>
      <x:c r="H59" s="13" t="str">
        <x:v>东返柜衔接原北、西柜；无中岛，保持厨房原入口。</x:v>
      </x:c>
      <x:c r="I59" s="2"/>
      <x:c r="J59" s="2" t="str">
        <x:v>柜体与材料清单.json</x:v>
      </x:c>
      <x:c r="K59" s="2" t="str">
        <x:v>/cabinets/8/configuration</x:v>
      </x:c>
      <x:c r="L59" s="2" t="str">
        <x:v>东返柜衔接原北、西柜；无中岛，保持厨房原入口。</x:v>
      </x:c>
    </x:row>
    <x:row r="60" ht="39" customHeight="1">
      <x:c r="A60" s="12" t="str">
        <x:v>S01-main</x:v>
      </x:c>
      <x:c r="B60" s="12" t="str">
        <x:v>书房A/衣帽间</x:v>
      </x:c>
      <x:c r="C60" s="12" t="str">
        <x:v>书房衣帽间L柜主段</x:v>
      </x:c>
      <x:c r="D60" s="14" t="str">
        <x:v>宽×深×柜顶绝对Z：宽</x:v>
      </x:c>
      <x:c r="E60" s="22" t="n">
        <x:v>1.9</x:v>
      </x:c>
      <x:c r="F60" s="24" t="n">
        <x:f>IF(COUNT(E60)=1,E60*1000,"")</x:f>
        <x:v>1900</x:v>
      </x:c>
      <x:c r="G60" s="26"/>
      <x:c r="H60" s="14" t="str">
        <x:v>方案尺寸；口径见项目名称，实测待填</x:v>
      </x:c>
      <x:c r="I60" s="2"/>
      <x:c r="J60" s="2" t="str">
        <x:v>wardrobe-retained-A-source-v9.json</x:v>
      </x:c>
      <x:c r="K60" s="2" t="str">
        <x:v>/cabinet_modules/0/width_depth_top_m/0</x:v>
      </x:c>
      <x:c r="L60" s="2" t="n">
        <x:v>1.9</x:v>
      </x:c>
    </x:row>
    <x:row r="61" ht="39" customHeight="1">
      <x:c r="A61" s="2" t="str">
        <x:v>S01-main</x:v>
      </x:c>
      <x:c r="B61" s="2" t="str">
        <x:v>书房A/衣帽间</x:v>
      </x:c>
      <x:c r="C61" s="2" t="str">
        <x:v>书房衣帽间L柜主段</x:v>
      </x:c>
      <x:c r="D61" s="13" t="str">
        <x:v>宽×深×柜顶绝对Z：深</x:v>
      </x:c>
      <x:c r="E61" s="21" t="n">
        <x:v>0.58</x:v>
      </x:c>
      <x:c r="F61" s="23" t="n">
        <x:f>IF(COUNT(E61)=1,E61*1000,"")</x:f>
        <x:v>580</x:v>
      </x:c>
      <x:c r="G61" s="26"/>
      <x:c r="H61" s="13" t="str">
        <x:v>方案尺寸；口径见项目名称，实测待填</x:v>
      </x:c>
      <x:c r="I61" s="2"/>
      <x:c r="J61" s="2" t="str">
        <x:v>wardrobe-retained-A-source-v9.json</x:v>
      </x:c>
      <x:c r="K61" s="2" t="str">
        <x:v>/cabinet_modules/0/width_depth_top_m/1</x:v>
      </x:c>
      <x:c r="L61" s="2" t="n">
        <x:v>0.58</x:v>
      </x:c>
    </x:row>
    <x:row r="62" ht="39" customHeight="1">
      <x:c r="A62" s="12" t="str">
        <x:v>S01-main</x:v>
      </x:c>
      <x:c r="B62" s="12" t="str">
        <x:v>书房A/衣帽间</x:v>
      </x:c>
      <x:c r="C62" s="12" t="str">
        <x:v>书房衣帽间L柜主段</x:v>
      </x:c>
      <x:c r="D62" s="14" t="str">
        <x:v>宽×深×柜顶绝对Z：柜顶绝对Z</x:v>
      </x:c>
      <x:c r="E62" s="22" t="n">
        <x:v>2.7</x:v>
      </x:c>
      <x:c r="F62" s="24" t="n">
        <x:f>IF(COUNT(E62)=1,E62*1000,"")</x:f>
        <x:v>2700</x:v>
      </x:c>
      <x:c r="G62" s="26"/>
      <x:c r="H62" s="14" t="str">
        <x:v>方案尺寸；口径见项目名称，实测待填</x:v>
      </x:c>
      <x:c r="I62" s="2"/>
      <x:c r="J62" s="2" t="str">
        <x:v>wardrobe-retained-A-source-v9.json</x:v>
      </x:c>
      <x:c r="K62" s="2" t="str">
        <x:v>/cabinet_modules/0/width_depth_top_m/2</x:v>
      </x:c>
      <x:c r="L62" s="2" t="n">
        <x:v>2.7</x:v>
      </x:c>
    </x:row>
    <x:row r="63" ht="39" customHeight="1">
      <x:c r="A63" s="2" t="str">
        <x:v>S01-main</x:v>
      </x:c>
      <x:c r="B63" s="2" t="str">
        <x:v>书房A/衣帽间</x:v>
      </x:c>
      <x:c r="C63" s="2" t="str">
        <x:v>书房衣帽间L柜主段</x:v>
      </x:c>
      <x:c r="D63" s="13" t="str">
        <x:v>柜高距完成地面</x:v>
      </x:c>
      <x:c r="E63" s="21" t="n">
        <x:v>2.688</x:v>
      </x:c>
      <x:c r="F63" s="23" t="n">
        <x:f>IF(COUNT(E63)=1,E63*1000,"")</x:f>
        <x:v>2688</x:v>
      </x:c>
      <x:c r="G63" s="26"/>
      <x:c r="H63" s="13" t="str">
        <x:v>方案尺寸；口径见项目名称，实测待填</x:v>
      </x:c>
      <x:c r="I63" s="2"/>
      <x:c r="J63" s="2" t="str">
        <x:v>wardrobe-retained-A-source-v9.json</x:v>
      </x:c>
      <x:c r="K63" s="2" t="str">
        <x:v>/cabinet_modules/0/finished_height_m</x:v>
      </x:c>
      <x:c r="L63" s="2" t="n">
        <x:v>2.688</x:v>
      </x:c>
    </x:row>
    <x:row r="64" ht="39" customHeight="1">
      <x:c r="A64" s="12" t="str">
        <x:v>S01-main</x:v>
      </x:c>
      <x:c r="B64" s="12" t="str">
        <x:v>书房A/衣帽间</x:v>
      </x:c>
      <x:c r="C64" s="12" t="str">
        <x:v>书房衣帽间L柜主段</x:v>
      </x:c>
      <x:c r="D64" s="14" t="str">
        <x:v>长衣挂区</x:v>
      </x:c>
      <x:c r="E64" s="22" t="n">
        <x:v>0.633</x:v>
      </x:c>
      <x:c r="F64" s="24" t="n">
        <x:f>IF(COUNT(E64)=1,E64*1000,"")</x:f>
        <x:v>633</x:v>
      </x:c>
      <x:c r="G64" s="26"/>
      <x:c r="H64" s="14" t="str">
        <x:v>V8_S01_main_bay1；净宽提案，盲角不计挂衣容量</x:v>
      </x:c>
      <x:c r="I64" s="2"/>
      <x:c r="J64" s="2" t="str">
        <x:v>wardrobe-retained-A-source-v9.json</x:v>
      </x:c>
      <x:c r="K64" s="2" t="str">
        <x:v>/cabinet_modules/0/zones/0/width_clear_m</x:v>
      </x:c>
      <x:c r="L64" s="2" t="n">
        <x:v>0.633</x:v>
      </x:c>
    </x:row>
    <x:row r="65" ht="39" customHeight="1">
      <x:c r="A65" s="2" t="str">
        <x:v>S01-main</x:v>
      </x:c>
      <x:c r="B65" s="2" t="str">
        <x:v>书房A/衣帽间</x:v>
      </x:c>
      <x:c r="C65" s="2" t="str">
        <x:v>书房衣帽间L柜主段</x:v>
      </x:c>
      <x:c r="D65" s="13" t="str">
        <x:v>双层短衣挂区</x:v>
      </x:c>
      <x:c r="E65" s="21" t="n">
        <x:v>0.602</x:v>
      </x:c>
      <x:c r="F65" s="23" t="n">
        <x:f>IF(COUNT(E65)=1,E65*1000,"")</x:f>
        <x:v>602</x:v>
      </x:c>
      <x:c r="G65" s="26"/>
      <x:c r="H65" s="13" t="str">
        <x:v>V8_S01_main_bay2；净宽提案，盲角不计挂衣容量</x:v>
      </x:c>
      <x:c r="I65" s="2"/>
      <x:c r="J65" s="2" t="str">
        <x:v>wardrobe-retained-A-source-v9.json</x:v>
      </x:c>
      <x:c r="K65" s="2" t="str">
        <x:v>/cabinet_modules/0/zones/1/width_clear_m</x:v>
      </x:c>
      <x:c r="L65" s="2" t="n">
        <x:v>0.602</x:v>
      </x:c>
    </x:row>
    <x:row r="66" ht="39" customHeight="1">
      <x:c r="A66" s="12" t="str">
        <x:v>S01-main</x:v>
      </x:c>
      <x:c r="B66" s="12" t="str">
        <x:v>书房A/衣帽间</x:v>
      </x:c>
      <x:c r="C66" s="12" t="str">
        <x:v>书房衣帽间L柜主段</x:v>
      </x:c>
      <x:c r="D66" s="14" t="str">
        <x:v>双层短衣挂区</x:v>
      </x:c>
      <x:c r="E66" s="22" t="n">
        <x:v>0.593</x:v>
      </x:c>
      <x:c r="F66" s="24" t="n">
        <x:f>IF(COUNT(E66)=1,E66*1000,"")</x:f>
        <x:v>593</x:v>
      </x:c>
      <x:c r="G66" s="26"/>
      <x:c r="H66" s="14" t="str">
        <x:v>V8_S01_main_bay3；净宽提案，盲角不计挂衣容量</x:v>
      </x:c>
      <x:c r="I66" s="2"/>
      <x:c r="J66" s="2" t="str">
        <x:v>wardrobe-retained-A-source-v9.json</x:v>
      </x:c>
      <x:c r="K66" s="2" t="str">
        <x:v>/cabinet_modules/0/zones/2/width_clear_m</x:v>
      </x:c>
      <x:c r="L66" s="2" t="n">
        <x:v>0.593</x:v>
      </x:c>
    </x:row>
    <x:row r="67" ht="84" customHeight="1">
      <x:c r="A67" s="2" t="str">
        <x:v>S01-main</x:v>
      </x:c>
      <x:c r="B67" s="2" t="str">
        <x:v>书房A/衣帽间</x:v>
      </x:c>
      <x:c r="C67" s="2" t="str">
        <x:v>书房衣帽间L柜主段</x:v>
      </x:c>
      <x:c r="D67" s="13" t="str">
        <x:v>柜体配置</x:v>
      </x:c>
      <x:c r="E67" s="21"/>
      <x:c r="F67" s="23" t="str">
        <x:f>IF(COUNT(E67)=1,E67*1000,"")</x:f>
      </x:c>
      <x:c r="G67" s="26"/>
      <x:c r="H67" s="13" t="str">
        <x:v>白色为主；本段含长衣和双层短衣区。</x:v>
      </x:c>
      <x:c r="I67" s="2"/>
      <x:c r="J67" s="2" t="str">
        <x:v>柜体与材料清单.json</x:v>
      </x:c>
      <x:c r="K67" s="2" t="str">
        <x:v>/cabinets/9/configuration</x:v>
      </x:c>
      <x:c r="L67" s="2" t="str">
        <x:v>白色为主；本段含长衣和双层短衣区。</x:v>
      </x:c>
    </x:row>
    <x:row r="68" ht="39" customHeight="1">
      <x:c r="A68" s="12" t="str">
        <x:v>S01-return</x:v>
      </x:c>
      <x:c r="B68" s="12" t="str">
        <x:v>书房A/衣帽间</x:v>
      </x:c>
      <x:c r="C68" s="12" t="str">
        <x:v>书房衣帽间L柜返段</x:v>
      </x:c>
      <x:c r="D68" s="14" t="str">
        <x:v>宽×深×柜顶绝对Z：宽</x:v>
      </x:c>
      <x:c r="E68" s="22" t="n">
        <x:v>1.14</x:v>
      </x:c>
      <x:c r="F68" s="24" t="n">
        <x:f>IF(COUNT(E68)=1,E68*1000,"")</x:f>
        <x:v>1140</x:v>
      </x:c>
      <x:c r="G68" s="26"/>
      <x:c r="H68" s="14" t="str">
        <x:v>方案尺寸；口径见项目名称，实测待填</x:v>
      </x:c>
      <x:c r="I68" s="2"/>
      <x:c r="J68" s="2" t="str">
        <x:v>wardrobe-retained-A-source-v9.json</x:v>
      </x:c>
      <x:c r="K68" s="2" t="str">
        <x:v>/cabinet_modules/1/width_depth_top_m/0</x:v>
      </x:c>
      <x:c r="L68" s="2" t="n">
        <x:v>1.14</x:v>
      </x:c>
    </x:row>
    <x:row r="69" ht="39" customHeight="1">
      <x:c r="A69" s="2" t="str">
        <x:v>S01-return</x:v>
      </x:c>
      <x:c r="B69" s="2" t="str">
        <x:v>书房A/衣帽间</x:v>
      </x:c>
      <x:c r="C69" s="2" t="str">
        <x:v>书房衣帽间L柜返段</x:v>
      </x:c>
      <x:c r="D69" s="13" t="str">
        <x:v>宽×深×柜顶绝对Z：深</x:v>
      </x:c>
      <x:c r="E69" s="21" t="n">
        <x:v>0.6</x:v>
      </x:c>
      <x:c r="F69" s="23" t="n">
        <x:f>IF(COUNT(E69)=1,E69*1000,"")</x:f>
        <x:v>600</x:v>
      </x:c>
      <x:c r="G69" s="26"/>
      <x:c r="H69" s="13" t="str">
        <x:v>方案尺寸；口径见项目名称，实测待填</x:v>
      </x:c>
      <x:c r="I69" s="2"/>
      <x:c r="J69" s="2" t="str">
        <x:v>wardrobe-retained-A-source-v9.json</x:v>
      </x:c>
      <x:c r="K69" s="2" t="str">
        <x:v>/cabinet_modules/1/width_depth_top_m/1</x:v>
      </x:c>
      <x:c r="L69" s="2" t="n">
        <x:v>0.6</x:v>
      </x:c>
    </x:row>
    <x:row r="70" ht="39" customHeight="1">
      <x:c r="A70" s="12" t="str">
        <x:v>S01-return</x:v>
      </x:c>
      <x:c r="B70" s="12" t="str">
        <x:v>书房A/衣帽间</x:v>
      </x:c>
      <x:c r="C70" s="12" t="str">
        <x:v>书房衣帽间L柜返段</x:v>
      </x:c>
      <x:c r="D70" s="14" t="str">
        <x:v>宽×深×柜顶绝对Z：柜顶绝对Z</x:v>
      </x:c>
      <x:c r="E70" s="22" t="n">
        <x:v>2.3</x:v>
      </x:c>
      <x:c r="F70" s="24" t="n">
        <x:f>IF(COUNT(E70)=1,E70*1000,"")</x:f>
        <x:v>2300</x:v>
      </x:c>
      <x:c r="G70" s="26"/>
      <x:c r="H70" s="14" t="str">
        <x:v>方案尺寸；口径见项目名称，实测待填</x:v>
      </x:c>
      <x:c r="I70" s="2"/>
      <x:c r="J70" s="2" t="str">
        <x:v>wardrobe-retained-A-source-v9.json</x:v>
      </x:c>
      <x:c r="K70" s="2" t="str">
        <x:v>/cabinet_modules/1/width_depth_top_m/2</x:v>
      </x:c>
      <x:c r="L70" s="2" t="n">
        <x:v>2.3</x:v>
      </x:c>
    </x:row>
    <x:row r="71" ht="39" customHeight="1">
      <x:c r="A71" s="2" t="str">
        <x:v>S01-return</x:v>
      </x:c>
      <x:c r="B71" s="2" t="str">
        <x:v>书房A/衣帽间</x:v>
      </x:c>
      <x:c r="C71" s="2" t="str">
        <x:v>书房衣帽间L柜返段</x:v>
      </x:c>
      <x:c r="D71" s="13" t="str">
        <x:v>柜高距完成地面</x:v>
      </x:c>
      <x:c r="E71" s="21" t="n">
        <x:v>2.288</x:v>
      </x:c>
      <x:c r="F71" s="23" t="n">
        <x:f>IF(COUNT(E71)=1,E71*1000,"")</x:f>
        <x:v>2288</x:v>
      </x:c>
      <x:c r="G71" s="26"/>
      <x:c r="H71" s="13" t="str">
        <x:v>方案尺寸；口径见项目名称，实测待填</x:v>
      </x:c>
      <x:c r="I71" s="2"/>
      <x:c r="J71" s="2" t="str">
        <x:v>wardrobe-retained-A-source-v9.json</x:v>
      </x:c>
      <x:c r="K71" s="2" t="str">
        <x:v>/cabinet_modules/1/finished_height_m</x:v>
      </x:c>
      <x:c r="L71" s="2" t="n">
        <x:v>2.288</x:v>
      </x:c>
    </x:row>
    <x:row r="72" ht="39" customHeight="1">
      <x:c r="A72" s="12" t="str">
        <x:v>S01-return</x:v>
      </x:c>
      <x:c r="B72" s="12" t="str">
        <x:v>书房A/衣帽间</x:v>
      </x:c>
      <x:c r="C72" s="12" t="str">
        <x:v>书房衣帽间L柜返段</x:v>
      </x:c>
      <x:c r="D72" s="14" t="str">
        <x:v>双层短衣挂区</x:v>
      </x:c>
      <x:c r="E72" s="22" t="n">
        <x:v>0.533</x:v>
      </x:c>
      <x:c r="F72" s="24" t="n">
        <x:f>IF(COUNT(E72)=1,E72*1000,"")</x:f>
        <x:v>533</x:v>
      </x:c>
      <x:c r="G72" s="26"/>
      <x:c r="H72" s="14" t="str">
        <x:v>V8_S01_return_bay1；净宽提案，盲角不计挂衣容量</x:v>
      </x:c>
      <x:c r="I72" s="2"/>
      <x:c r="J72" s="2" t="str">
        <x:v>wardrobe-retained-A-source-v9.json</x:v>
      </x:c>
      <x:c r="K72" s="2" t="str">
        <x:v>/cabinet_modules/1/zones/0/width_clear_m</x:v>
      </x:c>
      <x:c r="L72" s="2" t="n">
        <x:v>0.533</x:v>
      </x:c>
    </x:row>
    <x:row r="73" ht="39" customHeight="1">
      <x:c r="A73" s="2" t="str">
        <x:v>S01-return</x:v>
      </x:c>
      <x:c r="B73" s="2" t="str">
        <x:v>书房A/衣帽间</x:v>
      </x:c>
      <x:c r="C73" s="2" t="str">
        <x:v>书房衣帽间L柜返段</x:v>
      </x:c>
      <x:c r="D73" s="13" t="str">
        <x:v>盲角连接区</x:v>
      </x:c>
      <x:c r="E73" s="21" t="n">
        <x:v>0.5529999999999999</x:v>
      </x:c>
      <x:c r="F73" s="23" t="n">
        <x:f>IF(COUNT(E73)=1,E73*1000,"")</x:f>
        <x:v>552.9999999999999</x:v>
      </x:c>
      <x:c r="G73" s="26"/>
      <x:c r="H73" s="13" t="str">
        <x:v>V8_S01_return_bay2；净宽提案，盲角不计挂衣容量</x:v>
      </x:c>
      <x:c r="I73" s="2"/>
      <x:c r="J73" s="2" t="str">
        <x:v>wardrobe-retained-A-source-v9.json</x:v>
      </x:c>
      <x:c r="K73" s="2" t="str">
        <x:v>/cabinet_modules/1/zones/1/width_clear_m</x:v>
      </x:c>
      <x:c r="L73" s="2" t="n">
        <x:v>0.5529999999999999</x:v>
      </x:c>
    </x:row>
    <x:row r="74" ht="84" customHeight="1">
      <x:c r="A74" s="12" t="str">
        <x:v>S01-return</x:v>
      </x:c>
      <x:c r="B74" s="12" t="str">
        <x:v>书房A/衣帽间</x:v>
      </x:c>
      <x:c r="C74" s="12" t="str">
        <x:v>书房衣帽间L柜返段</x:v>
      </x:c>
      <x:c r="D74" s="14" t="str">
        <x:v>柜体配置</x:v>
      </x:c>
      <x:c r="E74" s="22"/>
      <x:c r="F74" s="24" t="str">
        <x:f>IF(COUNT(E74)=1,E74*1000,"")</x:f>
      </x:c>
      <x:c r="G74" s="26"/>
      <x:c r="H74" s="14" t="str">
        <x:v>白色返段；双层短衣与封闭盲转角，盲区不计挂衣容量。</x:v>
      </x:c>
      <x:c r="I74" s="2"/>
      <x:c r="J74" s="2" t="str">
        <x:v>柜体与材料清单.json</x:v>
      </x:c>
      <x:c r="K74" s="2" t="str">
        <x:v>/cabinets/10/configuration</x:v>
      </x:c>
      <x:c r="L74" s="2" t="str">
        <x:v>白色返段；双层短衣与封闭盲转角，盲区不计挂衣容量。</x:v>
      </x:c>
    </x:row>
    <x:row r="75" ht="39" customHeight="1">
      <x:c r="A75" s="2" t="str">
        <x:v>S02</x:v>
      </x:c>
      <x:c r="B75" s="2" t="str">
        <x:v>书房A/衣帽间</x:v>
      </x:c>
      <x:c r="C75" s="2" t="str">
        <x:v>双人长书桌</x:v>
      </x:c>
      <x:c r="D75" s="13" t="str">
        <x:v>方案宽</x:v>
      </x:c>
      <x:c r="E75" s="21" t="n">
        <x:v>2.6</x:v>
      </x:c>
      <x:c r="F75" s="23" t="n">
        <x:f>IF(COUNT(E75)=1,E75*1000,"")</x:f>
        <x:v>2600</x:v>
      </x:c>
      <x:c r="G75" s="26"/>
      <x:c r="H75" s="13" t="str">
        <x:v>方案尺寸；口径见项目名称，实测待填</x:v>
      </x:c>
      <x:c r="I75" s="2"/>
      <x:c r="J75" s="2" t="str">
        <x:v>cabinet-schedule.json</x:v>
      </x:c>
      <x:c r="K75" s="2" t="str">
        <x:v>/5/width</x:v>
      </x:c>
      <x:c r="L75" s="2" t="n">
        <x:v>2.6</x:v>
      </x:c>
    </x:row>
    <x:row r="76" ht="39" customHeight="1">
      <x:c r="A76" s="12" t="str">
        <x:v>S02</x:v>
      </x:c>
      <x:c r="B76" s="12" t="str">
        <x:v>书房A/衣帽间</x:v>
      </x:c>
      <x:c r="C76" s="12" t="str">
        <x:v>双人长书桌</x:v>
      </x:c>
      <x:c r="D76" s="14" t="str">
        <x:v>方案深</x:v>
      </x:c>
      <x:c r="E76" s="22" t="n">
        <x:v>0.64</x:v>
      </x:c>
      <x:c r="F76" s="24" t="n">
        <x:f>IF(COUNT(E76)=1,E76*1000,"")</x:f>
        <x:v>640</x:v>
      </x:c>
      <x:c r="G76" s="26"/>
      <x:c r="H76" s="14" t="str">
        <x:v>方案尺寸；口径见项目名称，实测待填</x:v>
      </x:c>
      <x:c r="I76" s="2"/>
      <x:c r="J76" s="2" t="str">
        <x:v>cabinet-schedule.json</x:v>
      </x:c>
      <x:c r="K76" s="2" t="str">
        <x:v>/5/depth</x:v>
      </x:c>
      <x:c r="L76" s="2" t="n">
        <x:v>0.64</x:v>
      </x:c>
    </x:row>
    <x:row r="77" ht="39" customHeight="1">
      <x:c r="A77" s="2" t="str">
        <x:v>S02</x:v>
      </x:c>
      <x:c r="B77" s="2" t="str">
        <x:v>书房A/衣帽间</x:v>
      </x:c>
      <x:c r="C77" s="2" t="str">
        <x:v>双人长书桌</x:v>
      </x:c>
      <x:c r="D77" s="13" t="str">
        <x:v>方案构件高度</x:v>
      </x:c>
      <x:c r="E77" s="21" t="n">
        <x:v>0.75</x:v>
      </x:c>
      <x:c r="F77" s="23" t="n">
        <x:f>IF(COUNT(E77)=1,E77*1000,"")</x:f>
        <x:v>750</x:v>
      </x:c>
      <x:c r="G77" s="26"/>
      <x:c r="H77" s="13" t="str">
        <x:v>方案尺寸；口径见项目名称，实测待填</x:v>
      </x:c>
      <x:c r="I77" s="2"/>
      <x:c r="J77" s="2" t="str">
        <x:v>cabinet-schedule.json</x:v>
      </x:c>
      <x:c r="K77" s="2" t="str">
        <x:v>/5/height</x:v>
      </x:c>
      <x:c r="L77" s="2" t="n">
        <x:v>0.75</x:v>
      </x:c>
    </x:row>
    <x:row r="78" ht="39" customHeight="1">
      <x:c r="A78" s="12" t="str">
        <x:v>S02</x:v>
      </x:c>
      <x:c r="B78" s="12" t="str">
        <x:v>书房A/衣帽间</x:v>
      </x:c>
      <x:c r="C78" s="12" t="str">
        <x:v>双人长书桌</x:v>
      </x:c>
      <x:c r="D78" s="14" t="str">
        <x:v>底部绝对Z</x:v>
      </x:c>
      <x:c r="E78" s="22" t="n">
        <x:v>0</x:v>
      </x:c>
      <x:c r="F78" s="24" t="n">
        <x:f>IF(COUNT(E78)=1,E78*1000,"")</x:f>
        <x:v>0</x:v>
      </x:c>
      <x:c r="G78" s="26"/>
      <x:c r="H78" s="14" t="str">
        <x:v>方案尺寸；口径见项目名称，实测待填</x:v>
      </x:c>
      <x:c r="I78" s="2"/>
      <x:c r="J78" s="2" t="str">
        <x:v>cabinet-schedule.json</x:v>
      </x:c>
      <x:c r="K78" s="2" t="str">
        <x:v>/5/zbase</x:v>
      </x:c>
      <x:c r="L78" s="2" t="n">
        <x:v>0</x:v>
      </x:c>
    </x:row>
    <x:row r="79" ht="84" customHeight="1">
      <x:c r="A79" s="2" t="str">
        <x:v>S02</x:v>
      </x:c>
      <x:c r="B79" s="2" t="str">
        <x:v>书房A/衣帽间</x:v>
      </x:c>
      <x:c r="C79" s="2" t="str">
        <x:v>双人长书桌</x:v>
      </x:c>
      <x:c r="D79" s="13" t="str">
        <x:v>柜体配置</x:v>
      </x:c>
      <x:c r="E79" s="21"/>
      <x:c r="F79" s="23" t="str">
        <x:f>IF(COUNT(E79)=1,E79*1000,"")</x:f>
      </x:c>
      <x:c r="G79" s="26"/>
      <x:c r="H79" s="13" t="str">
        <x:v>无床双PC书房；白柜、胡桃色书桌及玻璃展示格。</x:v>
      </x:c>
      <x:c r="I79" s="2"/>
      <x:c r="J79" s="2" t="str">
        <x:v>柜体与材料清单.json</x:v>
      </x:c>
      <x:c r="K79" s="2" t="str">
        <x:v>/cabinets/11/configuration</x:v>
      </x:c>
      <x:c r="L79" s="2" t="str">
        <x:v>无床双PC书房；白柜、胡桃色书桌及玻璃展示格。</x:v>
      </x:c>
    </x:row>
    <x:row r="80" ht="39" customHeight="1">
      <x:c r="A80" s="12" t="str">
        <x:v>S03</x:v>
      </x:c>
      <x:c r="B80" s="12" t="str">
        <x:v>书房A/衣帽间</x:v>
      </x:c>
      <x:c r="C80" s="12" t="str">
        <x:v>窗下转角书桌</x:v>
      </x:c>
      <x:c r="D80" s="14" t="str">
        <x:v>方案宽</x:v>
      </x:c>
      <x:c r="E80" s="22" t="n">
        <x:v>1.3428571428571427</x:v>
      </x:c>
      <x:c r="F80" s="24" t="n">
        <x:f>IF(COUNT(E80)=1,E80*1000,"")</x:f>
        <x:v>1342.8571428571427</x:v>
      </x:c>
      <x:c r="G80" s="26"/>
      <x:c r="H80" s="14" t="str">
        <x:v>方案尺寸；口径见项目名称，实测待填</x:v>
      </x:c>
      <x:c r="I80" s="2"/>
      <x:c r="J80" s="2" t="str">
        <x:v>cabinet-schedule.json</x:v>
      </x:c>
      <x:c r="K80" s="2" t="str">
        <x:v>/6/width</x:v>
      </x:c>
      <x:c r="L80" s="2" t="n">
        <x:v>1.3428571428571427</x:v>
      </x:c>
    </x:row>
    <x:row r="81" ht="39" customHeight="1">
      <x:c r="A81" s="2" t="str">
        <x:v>S03</x:v>
      </x:c>
      <x:c r="B81" s="2" t="str">
        <x:v>书房A/衣帽间</x:v>
      </x:c>
      <x:c r="C81" s="2" t="str">
        <x:v>窗下转角书桌</x:v>
      </x:c>
      <x:c r="D81" s="13" t="str">
        <x:v>方案深</x:v>
      </x:c>
      <x:c r="E81" s="21" t="n">
        <x:v>0.6</x:v>
      </x:c>
      <x:c r="F81" s="23" t="n">
        <x:f>IF(COUNT(E81)=1,E81*1000,"")</x:f>
        <x:v>600</x:v>
      </x:c>
      <x:c r="G81" s="26"/>
      <x:c r="H81" s="13" t="str">
        <x:v>方案尺寸；口径见项目名称，实测待填</x:v>
      </x:c>
      <x:c r="I81" s="2"/>
      <x:c r="J81" s="2" t="str">
        <x:v>cabinet-schedule.json</x:v>
      </x:c>
      <x:c r="K81" s="2" t="str">
        <x:v>/6/depth</x:v>
      </x:c>
      <x:c r="L81" s="2" t="n">
        <x:v>0.6</x:v>
      </x:c>
    </x:row>
    <x:row r="82" ht="39" customHeight="1">
      <x:c r="A82" s="12" t="str">
        <x:v>S03</x:v>
      </x:c>
      <x:c r="B82" s="12" t="str">
        <x:v>书房A/衣帽间</x:v>
      </x:c>
      <x:c r="C82" s="12" t="str">
        <x:v>窗下转角书桌</x:v>
      </x:c>
      <x:c r="D82" s="14" t="str">
        <x:v>方案构件高度</x:v>
      </x:c>
      <x:c r="E82" s="22" t="n">
        <x:v>0.75</x:v>
      </x:c>
      <x:c r="F82" s="24" t="n">
        <x:f>IF(COUNT(E82)=1,E82*1000,"")</x:f>
        <x:v>750</x:v>
      </x:c>
      <x:c r="G82" s="26"/>
      <x:c r="H82" s="14" t="str">
        <x:v>方案尺寸；口径见项目名称，实测待填</x:v>
      </x:c>
      <x:c r="I82" s="2"/>
      <x:c r="J82" s="2" t="str">
        <x:v>cabinet-schedule.json</x:v>
      </x:c>
      <x:c r="K82" s="2" t="str">
        <x:v>/6/height</x:v>
      </x:c>
      <x:c r="L82" s="2" t="n">
        <x:v>0.75</x:v>
      </x:c>
    </x:row>
    <x:row r="83" ht="39" customHeight="1">
      <x:c r="A83" s="2" t="str">
        <x:v>S03</x:v>
      </x:c>
      <x:c r="B83" s="2" t="str">
        <x:v>书房A/衣帽间</x:v>
      </x:c>
      <x:c r="C83" s="2" t="str">
        <x:v>窗下转角书桌</x:v>
      </x:c>
      <x:c r="D83" s="13" t="str">
        <x:v>底部绝对Z</x:v>
      </x:c>
      <x:c r="E83" s="21" t="n">
        <x:v>0</x:v>
      </x:c>
      <x:c r="F83" s="23" t="n">
        <x:f>IF(COUNT(E83)=1,E83*1000,"")</x:f>
        <x:v>0</x:v>
      </x:c>
      <x:c r="G83" s="26"/>
      <x:c r="H83" s="13" t="str">
        <x:v>方案尺寸；口径见项目名称，实测待填</x:v>
      </x:c>
      <x:c r="I83" s="2"/>
      <x:c r="J83" s="2" t="str">
        <x:v>cabinet-schedule.json</x:v>
      </x:c>
      <x:c r="K83" s="2" t="str">
        <x:v>/6/zbase</x:v>
      </x:c>
      <x:c r="L83" s="2" t="n">
        <x:v>0</x:v>
      </x:c>
    </x:row>
    <x:row r="84" ht="84" customHeight="1">
      <x:c r="A84" s="12" t="str">
        <x:v>S03</x:v>
      </x:c>
      <x:c r="B84" s="12" t="str">
        <x:v>书房A/衣帽间</x:v>
      </x:c>
      <x:c r="C84" s="12" t="str">
        <x:v>窗下转角书桌</x:v>
      </x:c>
      <x:c r="D84" s="14" t="str">
        <x:v>柜体配置</x:v>
      </x:c>
      <x:c r="E84" s="22"/>
      <x:c r="F84" s="24" t="str">
        <x:f>IF(COUNT(E84)=1,E84*1000,"")</x:f>
      </x:c>
      <x:c r="G84" s="26"/>
      <x:c r="H84" s="14" t="str">
        <x:v>无床双PC书房；白柜、胡桃色书桌及玻璃展示格。</x:v>
      </x:c>
      <x:c r="I84" s="2"/>
      <x:c r="J84" s="2" t="str">
        <x:v>柜体与材料清单.json</x:v>
      </x:c>
      <x:c r="K84" s="2" t="str">
        <x:v>/cabinets/12/configuration</x:v>
      </x:c>
      <x:c r="L84" s="2" t="str">
        <x:v>无床双PC书房；白柜、胡桃色书桌及玻璃展示格。</x:v>
      </x:c>
    </x:row>
    <x:row r="85" ht="39" customHeight="1">
      <x:c r="A85" s="2" t="str">
        <x:v>S04</x:v>
      </x:c>
      <x:c r="B85" s="2" t="str">
        <x:v>书房A/衣帽间</x:v>
      </x:c>
      <x:c r="C85" s="2" t="str">
        <x:v>书房白色上柜</x:v>
      </x:c>
      <x:c r="D85" s="13" t="str">
        <x:v>方案宽</x:v>
      </x:c>
      <x:c r="E85" s="21" t="n">
        <x:v>2.6</x:v>
      </x:c>
      <x:c r="F85" s="23" t="n">
        <x:f>IF(COUNT(E85)=1,E85*1000,"")</x:f>
        <x:v>2600</x:v>
      </x:c>
      <x:c r="G85" s="26"/>
      <x:c r="H85" s="13" t="str">
        <x:v>方案尺寸；口径见项目名称，实测待填</x:v>
      </x:c>
      <x:c r="I85" s="2"/>
      <x:c r="J85" s="2" t="str">
        <x:v>cabinet-schedule.json</x:v>
      </x:c>
      <x:c r="K85" s="2" t="str">
        <x:v>/7/width</x:v>
      </x:c>
      <x:c r="L85" s="2" t="n">
        <x:v>2.6</x:v>
      </x:c>
    </x:row>
    <x:row r="86" ht="39" customHeight="1">
      <x:c r="A86" s="12" t="str">
        <x:v>S04</x:v>
      </x:c>
      <x:c r="B86" s="12" t="str">
        <x:v>书房A/衣帽间</x:v>
      </x:c>
      <x:c r="C86" s="12" t="str">
        <x:v>书房白色上柜</x:v>
      </x:c>
      <x:c r="D86" s="14" t="str">
        <x:v>方案深</x:v>
      </x:c>
      <x:c r="E86" s="22" t="n">
        <x:v>0.3</x:v>
      </x:c>
      <x:c r="F86" s="24" t="n">
        <x:f>IF(COUNT(E86)=1,E86*1000,"")</x:f>
        <x:v>300</x:v>
      </x:c>
      <x:c r="G86" s="26"/>
      <x:c r="H86" s="14" t="str">
        <x:v>方案尺寸；口径见项目名称，实测待填</x:v>
      </x:c>
      <x:c r="I86" s="2"/>
      <x:c r="J86" s="2" t="str">
        <x:v>cabinet-schedule.json</x:v>
      </x:c>
      <x:c r="K86" s="2" t="str">
        <x:v>/7/depth</x:v>
      </x:c>
      <x:c r="L86" s="2" t="n">
        <x:v>0.3</x:v>
      </x:c>
    </x:row>
    <x:row r="87" ht="39" customHeight="1">
      <x:c r="A87" s="2" t="str">
        <x:v>S04</x:v>
      </x:c>
      <x:c r="B87" s="2" t="str">
        <x:v>书房A/衣帽间</x:v>
      </x:c>
      <x:c r="C87" s="2" t="str">
        <x:v>书房白色上柜</x:v>
      </x:c>
      <x:c r="D87" s="13" t="str">
        <x:v>方案构件高度</x:v>
      </x:c>
      <x:c r="E87" s="21" t="n">
        <x:v>0.83</x:v>
      </x:c>
      <x:c r="F87" s="23" t="n">
        <x:f>IF(COUNT(E87)=1,E87*1000,"")</x:f>
        <x:v>830</x:v>
      </x:c>
      <x:c r="G87" s="26"/>
      <x:c r="H87" s="13" t="str">
        <x:v>方案尺寸；口径见项目名称，实测待填</x:v>
      </x:c>
      <x:c r="I87" s="2"/>
      <x:c r="J87" s="2" t="str">
        <x:v>cabinet-schedule.json</x:v>
      </x:c>
      <x:c r="K87" s="2" t="str">
        <x:v>/7/height</x:v>
      </x:c>
      <x:c r="L87" s="2" t="n">
        <x:v>0.83</x:v>
      </x:c>
    </x:row>
    <x:row r="88" ht="39" customHeight="1">
      <x:c r="A88" s="12" t="str">
        <x:v>S04</x:v>
      </x:c>
      <x:c r="B88" s="12" t="str">
        <x:v>书房A/衣帽间</x:v>
      </x:c>
      <x:c r="C88" s="12" t="str">
        <x:v>书房白色上柜</x:v>
      </x:c>
      <x:c r="D88" s="14" t="str">
        <x:v>底部绝对Z</x:v>
      </x:c>
      <x:c r="E88" s="22" t="n">
        <x:v>2.02</x:v>
      </x:c>
      <x:c r="F88" s="24" t="n">
        <x:f>IF(COUNT(E88)=1,E88*1000,"")</x:f>
        <x:v>2020</x:v>
      </x:c>
      <x:c r="G88" s="26"/>
      <x:c r="H88" s="14" t="str">
        <x:v>方案尺寸；口径见项目名称，实测待填</x:v>
      </x:c>
      <x:c r="I88" s="2"/>
      <x:c r="J88" s="2" t="str">
        <x:v>cabinet-schedule.json</x:v>
      </x:c>
      <x:c r="K88" s="2" t="str">
        <x:v>/7/zbase</x:v>
      </x:c>
      <x:c r="L88" s="2" t="n">
        <x:v>2.02</x:v>
      </x:c>
    </x:row>
    <x:row r="89" ht="84" customHeight="1">
      <x:c r="A89" s="2" t="str">
        <x:v>S04</x:v>
      </x:c>
      <x:c r="B89" s="2" t="str">
        <x:v>书房A/衣帽间</x:v>
      </x:c>
      <x:c r="C89" s="2" t="str">
        <x:v>书房白色上柜</x:v>
      </x:c>
      <x:c r="D89" s="13" t="str">
        <x:v>柜体配置</x:v>
      </x:c>
      <x:c r="E89" s="21"/>
      <x:c r="F89" s="23" t="str">
        <x:f>IF(COUNT(E89)=1,E89*1000,"")</x:f>
      </x:c>
      <x:c r="G89" s="26"/>
      <x:c r="H89" s="13" t="str">
        <x:v>无床双PC书房；白柜、胡桃色书桌及玻璃展示格。</x:v>
      </x:c>
      <x:c r="I89" s="2"/>
      <x:c r="J89" s="2" t="str">
        <x:v>柜体与材料清单.json</x:v>
      </x:c>
      <x:c r="K89" s="2" t="str">
        <x:v>/cabinets/13/configuration</x:v>
      </x:c>
      <x:c r="L89" s="2" t="str">
        <x:v>无床双PC书房；白柜、胡桃色书桌及玻璃展示格。</x:v>
      </x:c>
    </x:row>
    <x:row r="90" ht="39" customHeight="1">
      <x:c r="A90" s="12" t="str">
        <x:v>S05</x:v>
      </x:c>
      <x:c r="B90" s="12" t="str">
        <x:v>书房A/衣帽间</x:v>
      </x:c>
      <x:c r="C90" s="12" t="str">
        <x:v>书房玻璃展示柜</x:v>
      </x:c>
      <x:c r="D90" s="14" t="str">
        <x:v>方案宽</x:v>
      </x:c>
      <x:c r="E90" s="22" t="n">
        <x:v>2.6</x:v>
      </x:c>
      <x:c r="F90" s="24" t="n">
        <x:f>IF(COUNT(E90)=1,E90*1000,"")</x:f>
        <x:v>2600</x:v>
      </x:c>
      <x:c r="G90" s="26"/>
      <x:c r="H90" s="14" t="str">
        <x:v>方案尺寸；口径见项目名称，实测待填</x:v>
      </x:c>
      <x:c r="I90" s="2"/>
      <x:c r="J90" s="2" t="str">
        <x:v>cabinet-schedule.json</x:v>
      </x:c>
      <x:c r="K90" s="2" t="str">
        <x:v>/8/width</x:v>
      </x:c>
      <x:c r="L90" s="2" t="n">
        <x:v>2.6</x:v>
      </x:c>
    </x:row>
    <x:row r="91" ht="39" customHeight="1">
      <x:c r="A91" s="2" t="str">
        <x:v>S05</x:v>
      </x:c>
      <x:c r="B91" s="2" t="str">
        <x:v>书房A/衣帽间</x:v>
      </x:c>
      <x:c r="C91" s="2" t="str">
        <x:v>书房玻璃展示柜</x:v>
      </x:c>
      <x:c r="D91" s="13" t="str">
        <x:v>方案深</x:v>
      </x:c>
      <x:c r="E91" s="21" t="n">
        <x:v>0.3</x:v>
      </x:c>
      <x:c r="F91" s="23" t="n">
        <x:f>IF(COUNT(E91)=1,E91*1000,"")</x:f>
        <x:v>300</x:v>
      </x:c>
      <x:c r="G91" s="26"/>
      <x:c r="H91" s="13" t="str">
        <x:v>方案尺寸；口径见项目名称，实测待填</x:v>
      </x:c>
      <x:c r="I91" s="2"/>
      <x:c r="J91" s="2" t="str">
        <x:v>cabinet-schedule.json</x:v>
      </x:c>
      <x:c r="K91" s="2" t="str">
        <x:v>/8/depth</x:v>
      </x:c>
      <x:c r="L91" s="2" t="n">
        <x:v>0.3</x:v>
      </x:c>
    </x:row>
    <x:row r="92" ht="39" customHeight="1">
      <x:c r="A92" s="12" t="str">
        <x:v>S05</x:v>
      </x:c>
      <x:c r="B92" s="12" t="str">
        <x:v>书房A/衣帽间</x:v>
      </x:c>
      <x:c r="C92" s="12" t="str">
        <x:v>书房玻璃展示柜</x:v>
      </x:c>
      <x:c r="D92" s="14" t="str">
        <x:v>方案构件高度</x:v>
      </x:c>
      <x:c r="E92" s="22" t="n">
        <x:v>0.5</x:v>
      </x:c>
      <x:c r="F92" s="24" t="n">
        <x:f>IF(COUNT(E92)=1,E92*1000,"")</x:f>
        <x:v>500</x:v>
      </x:c>
      <x:c r="G92" s="26"/>
      <x:c r="H92" s="14" t="str">
        <x:v>方案尺寸；口径见项目名称，实测待填</x:v>
      </x:c>
      <x:c r="I92" s="2"/>
      <x:c r="J92" s="2" t="str">
        <x:v>cabinet-schedule.json</x:v>
      </x:c>
      <x:c r="K92" s="2" t="str">
        <x:v>/8/height</x:v>
      </x:c>
      <x:c r="L92" s="2" t="n">
        <x:v>0.5</x:v>
      </x:c>
    </x:row>
    <x:row r="93" ht="39" customHeight="1">
      <x:c r="A93" s="2" t="str">
        <x:v>S05</x:v>
      </x:c>
      <x:c r="B93" s="2" t="str">
        <x:v>书房A/衣帽间</x:v>
      </x:c>
      <x:c r="C93" s="2" t="str">
        <x:v>书房玻璃展示柜</x:v>
      </x:c>
      <x:c r="D93" s="13" t="str">
        <x:v>底部绝对Z</x:v>
      </x:c>
      <x:c r="E93" s="21" t="n">
        <x:v>1.52</x:v>
      </x:c>
      <x:c r="F93" s="23" t="n">
        <x:f>IF(COUNT(E93)=1,E93*1000,"")</x:f>
        <x:v>1520</x:v>
      </x:c>
      <x:c r="G93" s="26"/>
      <x:c r="H93" s="13" t="str">
        <x:v>方案尺寸；口径见项目名称，实测待填</x:v>
      </x:c>
      <x:c r="I93" s="2"/>
      <x:c r="J93" s="2" t="str">
        <x:v>cabinet-schedule.json</x:v>
      </x:c>
      <x:c r="K93" s="2" t="str">
        <x:v>/8/zbase</x:v>
      </x:c>
      <x:c r="L93" s="2" t="n">
        <x:v>1.52</x:v>
      </x:c>
    </x:row>
    <x:row r="94" ht="84" customHeight="1">
      <x:c r="A94" s="12" t="str">
        <x:v>S05</x:v>
      </x:c>
      <x:c r="B94" s="12" t="str">
        <x:v>书房A/衣帽间</x:v>
      </x:c>
      <x:c r="C94" s="12" t="str">
        <x:v>书房玻璃展示柜</x:v>
      </x:c>
      <x:c r="D94" s="14" t="str">
        <x:v>柜体配置</x:v>
      </x:c>
      <x:c r="E94" s="22"/>
      <x:c r="F94" s="24" t="str">
        <x:f>IF(COUNT(E94)=1,E94*1000,"")</x:f>
      </x:c>
      <x:c r="G94" s="26"/>
      <x:c r="H94" s="14" t="str">
        <x:v>无床双PC书房；白柜、胡桃色书桌及玻璃展示格。</x:v>
      </x:c>
      <x:c r="I94" s="2"/>
      <x:c r="J94" s="2" t="str">
        <x:v>柜体与材料清单.json</x:v>
      </x:c>
      <x:c r="K94" s="2" t="str">
        <x:v>/cabinets/14/configuration</x:v>
      </x:c>
      <x:c r="L94" s="2" t="str">
        <x:v>无床双PC书房；白柜、胡桃色书桌及玻璃展示格。</x:v>
      </x:c>
    </x:row>
    <x:row r="95" ht="39" customHeight="1">
      <x:c r="A95" s="2" t="str">
        <x:v>C05-main</x:v>
      </x:c>
      <x:c r="B95" s="2" t="str">
        <x:v>南次卧B</x:v>
      </x:c>
      <x:c r="C95" s="2" t="str">
        <x:v>南次卧B L衣柜主段</x:v>
      </x:c>
      <x:c r="D95" s="13" t="str">
        <x:v>宽×深×柜顶绝对Z：宽</x:v>
      </x:c>
      <x:c r="E95" s="21" t="n">
        <x:v>1.735</x:v>
      </x:c>
      <x:c r="F95" s="23" t="n">
        <x:f>IF(COUNT(E95)=1,E95*1000,"")</x:f>
        <x:v>1735</x:v>
      </x:c>
      <x:c r="G95" s="26"/>
      <x:c r="H95" s="13" t="str">
        <x:v>方案尺寸；口径见项目名称，实测待填</x:v>
      </x:c>
      <x:c r="I95" s="2"/>
      <x:c r="J95" s="2" t="str">
        <x:v>bedroom-joinery-spec-v11.json</x:v>
      </x:c>
      <x:c r="K95" s="2" t="str">
        <x:v>/cabinets/0/width_depth_top_m/0</x:v>
      </x:c>
      <x:c r="L95" s="2" t="n">
        <x:v>1.735</x:v>
      </x:c>
    </x:row>
    <x:row r="96" ht="39" customHeight="1">
      <x:c r="A96" s="12" t="str">
        <x:v>C05-main</x:v>
      </x:c>
      <x:c r="B96" s="12" t="str">
        <x:v>南次卧B</x:v>
      </x:c>
      <x:c r="C96" s="12" t="str">
        <x:v>南次卧B L衣柜主段</x:v>
      </x:c>
      <x:c r="D96" s="14" t="str">
        <x:v>宽×深×柜顶绝对Z：深</x:v>
      </x:c>
      <x:c r="E96" s="22" t="n">
        <x:v>0.6</x:v>
      </x:c>
      <x:c r="F96" s="24" t="n">
        <x:f>IF(COUNT(E96)=1,E96*1000,"")</x:f>
        <x:v>600</x:v>
      </x:c>
      <x:c r="G96" s="26"/>
      <x:c r="H96" s="14" t="str">
        <x:v>方案尺寸；口径见项目名称，实测待填</x:v>
      </x:c>
      <x:c r="I96" s="2"/>
      <x:c r="J96" s="2" t="str">
        <x:v>bedroom-joinery-spec-v11.json</x:v>
      </x:c>
      <x:c r="K96" s="2" t="str">
        <x:v>/cabinets/0/width_depth_top_m/1</x:v>
      </x:c>
      <x:c r="L96" s="2" t="n">
        <x:v>0.6</x:v>
      </x:c>
    </x:row>
    <x:row r="97" ht="39" customHeight="1">
      <x:c r="A97" s="2" t="str">
        <x:v>C05-main</x:v>
      </x:c>
      <x:c r="B97" s="2" t="str">
        <x:v>南次卧B</x:v>
      </x:c>
      <x:c r="C97" s="2" t="str">
        <x:v>南次卧B L衣柜主段</x:v>
      </x:c>
      <x:c r="D97" s="13" t="str">
        <x:v>宽×深×柜顶绝对Z：柜顶绝对Z</x:v>
      </x:c>
      <x:c r="E97" s="21" t="n">
        <x:v>2.7</x:v>
      </x:c>
      <x:c r="F97" s="23" t="n">
        <x:f>IF(COUNT(E97)=1,E97*1000,"")</x:f>
        <x:v>2700</x:v>
      </x:c>
      <x:c r="G97" s="26"/>
      <x:c r="H97" s="13" t="str">
        <x:v>方案尺寸；口径见项目名称，实测待填</x:v>
      </x:c>
      <x:c r="I97" s="2"/>
      <x:c r="J97" s="2" t="str">
        <x:v>bedroom-joinery-spec-v11.json</x:v>
      </x:c>
      <x:c r="K97" s="2" t="str">
        <x:v>/cabinets/0/width_depth_top_m/2</x:v>
      </x:c>
      <x:c r="L97" s="2" t="n">
        <x:v>2.7</x:v>
      </x:c>
    </x:row>
    <x:row r="98" ht="39" customHeight="1">
      <x:c r="A98" s="12" t="str">
        <x:v>C05-main</x:v>
      </x:c>
      <x:c r="B98" s="12" t="str">
        <x:v>南次卧B</x:v>
      </x:c>
      <x:c r="C98" s="12" t="str">
        <x:v>南次卧B L衣柜主段</x:v>
      </x:c>
      <x:c r="D98" s="14" t="str">
        <x:v>柜高距完成地面</x:v>
      </x:c>
      <x:c r="E98" s="22" t="n">
        <x:v>2.688</x:v>
      </x:c>
      <x:c r="F98" s="24" t="n">
        <x:f>IF(COUNT(E98)=1,E98*1000,"")</x:f>
        <x:v>2688</x:v>
      </x:c>
      <x:c r="G98" s="26"/>
      <x:c r="H98" s="14" t="str">
        <x:v>方案尺寸；口径见项目名称，实测待填</x:v>
      </x:c>
      <x:c r="I98" s="2"/>
      <x:c r="J98" s="2" t="str">
        <x:v>bedroom-joinery-spec-v11.json</x:v>
      </x:c>
      <x:c r="K98" s="2" t="str">
        <x:v>/cabinets/0/finished_height_m</x:v>
      </x:c>
      <x:c r="L98" s="2" t="n">
        <x:v>2.688</x:v>
      </x:c>
    </x:row>
    <x:row r="99" ht="39" customHeight="1">
      <x:c r="A99" s="2" t="str">
        <x:v>C05-main</x:v>
      </x:c>
      <x:c r="B99" s="2" t="str">
        <x:v>南次卧B</x:v>
      </x:c>
      <x:c r="C99" s="2" t="str">
        <x:v>南次卧B L衣柜主段</x:v>
      </x:c>
      <x:c r="D99" s="13" t="str">
        <x:v>长衣挂区</x:v>
      </x:c>
      <x:c r="E99" s="21" t="n">
        <x:v>0.5529999999999999</x:v>
      </x:c>
      <x:c r="F99" s="23" t="n">
        <x:f>IF(COUNT(E99)=1,E99*1000,"")</x:f>
        <x:v>552.9999999999999</x:v>
      </x:c>
      <x:c r="G99" s="26"/>
      <x:c r="H99" s="13" t="str">
        <x:v>V10_C05_main_bay1；净宽提案，盲角不计挂衣容量</x:v>
      </x:c>
      <x:c r="I99" s="2"/>
      <x:c r="J99" s="2" t="str">
        <x:v>bedroom-joinery-spec-v11.json</x:v>
      </x:c>
      <x:c r="K99" s="2" t="str">
        <x:v>/cabinets/0/zones/0/width_clear_m</x:v>
      </x:c>
      <x:c r="L99" s="2" t="n">
        <x:v>0.5529999999999999</x:v>
      </x:c>
    </x:row>
    <x:row r="100" ht="39" customHeight="1">
      <x:c r="A100" s="12" t="str">
        <x:v>C05-main</x:v>
      </x:c>
      <x:c r="B100" s="12" t="str">
        <x:v>南次卧B</x:v>
      </x:c>
      <x:c r="C100" s="12" t="str">
        <x:v>南次卧B L衣柜主段</x:v>
      </x:c>
      <x:c r="D100" s="14" t="str">
        <x:v>双层短衣挂区</x:v>
      </x:c>
      <x:c r="E100" s="22" t="n">
        <x:v>0.567</x:v>
      </x:c>
      <x:c r="F100" s="24" t="n">
        <x:f>IF(COUNT(E100)=1,E100*1000,"")</x:f>
        <x:v>567</x:v>
      </x:c>
      <x:c r="G100" s="26"/>
      <x:c r="H100" s="14" t="str">
        <x:v>V10_C05_main_bay2；净宽提案，盲角不计挂衣容量</x:v>
      </x:c>
      <x:c r="I100" s="2"/>
      <x:c r="J100" s="2" t="str">
        <x:v>bedroom-joinery-spec-v11.json</x:v>
      </x:c>
      <x:c r="K100" s="2" t="str">
        <x:v>/cabinets/0/zones/1/width_clear_m</x:v>
      </x:c>
      <x:c r="L100" s="2" t="n">
        <x:v>0.567</x:v>
      </x:c>
    </x:row>
    <x:row r="101" ht="39" customHeight="1">
      <x:c r="A101" s="2" t="str">
        <x:v>C05-main</x:v>
      </x:c>
      <x:c r="B101" s="2" t="str">
        <x:v>南次卧B</x:v>
      </x:c>
      <x:c r="C101" s="2" t="str">
        <x:v>南次卧B L衣柜主段</x:v>
      </x:c>
      <x:c r="D101" s="13" t="str">
        <x:v>盲角连接区</x:v>
      </x:c>
      <x:c r="E101" s="21" t="n">
        <x:v>0.5429999999999999</x:v>
      </x:c>
      <x:c r="F101" s="23" t="n">
        <x:f>IF(COUNT(E101)=1,E101*1000,"")</x:f>
        <x:v>542.9999999999999</x:v>
      </x:c>
      <x:c r="G101" s="26"/>
      <x:c r="H101" s="13" t="str">
        <x:v>V10_C05_main_bay3；净宽提案，盲角不计挂衣容量</x:v>
      </x:c>
      <x:c r="I101" s="2"/>
      <x:c r="J101" s="2" t="str">
        <x:v>bedroom-joinery-spec-v11.json</x:v>
      </x:c>
      <x:c r="K101" s="2" t="str">
        <x:v>/cabinets/0/zones/2/width_clear_m</x:v>
      </x:c>
      <x:c r="L101" s="2" t="n">
        <x:v>0.5429999999999999</x:v>
      </x:c>
    </x:row>
    <x:row r="102" ht="84" customHeight="1">
      <x:c r="A102" s="12" t="str">
        <x:v>C05-main</x:v>
      </x:c>
      <x:c r="B102" s="12" t="str">
        <x:v>南次卧B</x:v>
      </x:c>
      <x:c r="C102" s="12" t="str">
        <x:v>南次卧B L衣柜主段</x:v>
      </x:c>
      <x:c r="D102" s="14" t="str">
        <x:v>柜体配置</x:v>
      </x:c>
      <x:c r="E102" s="22"/>
      <x:c r="F102" s="24" t="str">
        <x:f>IF(COUNT(E102)=1,E102*1000,"")</x:f>
      </x:c>
      <x:c r="G102" s="26"/>
      <x:c r="H102" s="14" t="str">
        <x:v>白色门板；长衣、双层短衣与封闭盲转角。</x:v>
      </x:c>
      <x:c r="I102" s="2"/>
      <x:c r="J102" s="2" t="str">
        <x:v>柜体与材料清单.json</x:v>
      </x:c>
      <x:c r="K102" s="2" t="str">
        <x:v>/cabinets/15/configuration</x:v>
      </x:c>
      <x:c r="L102" s="2" t="str">
        <x:v>白色门板；长衣、双层短衣与封闭盲转角。</x:v>
      </x:c>
    </x:row>
    <x:row r="103" ht="39" customHeight="1">
      <x:c r="A103" s="2" t="str">
        <x:v>C05-north_return</x:v>
      </x:c>
      <x:c r="B103" s="2" t="str">
        <x:v>南次卧B</x:v>
      </x:c>
      <x:c r="C103" s="2" t="str">
        <x:v>南次卧B L衣柜北返段</x:v>
      </x:c>
      <x:c r="D103" s="13" t="str">
        <x:v>宽×深×柜顶绝对Z：宽</x:v>
      </x:c>
      <x:c r="E103" s="21" t="n">
        <x:v>0.94</x:v>
      </x:c>
      <x:c r="F103" s="23" t="n">
        <x:f>IF(COUNT(E103)=1,E103*1000,"")</x:f>
        <x:v>940</x:v>
      </x:c>
      <x:c r="G103" s="26"/>
      <x:c r="H103" s="13" t="str">
        <x:v>方案尺寸；口径见项目名称，实测待填</x:v>
      </x:c>
      <x:c r="I103" s="2"/>
      <x:c r="J103" s="2" t="str">
        <x:v>bedroom-joinery-spec-v11.json</x:v>
      </x:c>
      <x:c r="K103" s="2" t="str">
        <x:v>/cabinets/1/width_depth_top_m/0</x:v>
      </x:c>
      <x:c r="L103" s="2" t="n">
        <x:v>0.94</x:v>
      </x:c>
    </x:row>
    <x:row r="104" ht="39" customHeight="1">
      <x:c r="A104" s="12" t="str">
        <x:v>C05-north_return</x:v>
      </x:c>
      <x:c r="B104" s="12" t="str">
        <x:v>南次卧B</x:v>
      </x:c>
      <x:c r="C104" s="12" t="str">
        <x:v>南次卧B L衣柜北返段</x:v>
      </x:c>
      <x:c r="D104" s="14" t="str">
        <x:v>宽×深×柜顶绝对Z：深</x:v>
      </x:c>
      <x:c r="E104" s="22" t="n">
        <x:v>0.57</x:v>
      </x:c>
      <x:c r="F104" s="24" t="n">
        <x:f>IF(COUNT(E104)=1,E104*1000,"")</x:f>
        <x:v>570</x:v>
      </x:c>
      <x:c r="G104" s="26"/>
      <x:c r="H104" s="14" t="str">
        <x:v>方案尺寸；口径见项目名称，实测待填</x:v>
      </x:c>
      <x:c r="I104" s="2"/>
      <x:c r="J104" s="2" t="str">
        <x:v>bedroom-joinery-spec-v11.json</x:v>
      </x:c>
      <x:c r="K104" s="2" t="str">
        <x:v>/cabinets/1/width_depth_top_m/1</x:v>
      </x:c>
      <x:c r="L104" s="2" t="n">
        <x:v>0.57</x:v>
      </x:c>
    </x:row>
    <x:row r="105" ht="39" customHeight="1">
      <x:c r="A105" s="2" t="str">
        <x:v>C05-north_return</x:v>
      </x:c>
      <x:c r="B105" s="2" t="str">
        <x:v>南次卧B</x:v>
      </x:c>
      <x:c r="C105" s="2" t="str">
        <x:v>南次卧B L衣柜北返段</x:v>
      </x:c>
      <x:c r="D105" s="13" t="str">
        <x:v>宽×深×柜顶绝对Z：柜顶绝对Z</x:v>
      </x:c>
      <x:c r="E105" s="21" t="n">
        <x:v>2.3</x:v>
      </x:c>
      <x:c r="F105" s="23" t="n">
        <x:f>IF(COUNT(E105)=1,E105*1000,"")</x:f>
        <x:v>2300</x:v>
      </x:c>
      <x:c r="G105" s="26"/>
      <x:c r="H105" s="13" t="str">
        <x:v>方案尺寸；口径见项目名称，实测待填</x:v>
      </x:c>
      <x:c r="I105" s="2"/>
      <x:c r="J105" s="2" t="str">
        <x:v>bedroom-joinery-spec-v11.json</x:v>
      </x:c>
      <x:c r="K105" s="2" t="str">
        <x:v>/cabinets/1/width_depth_top_m/2</x:v>
      </x:c>
      <x:c r="L105" s="2" t="n">
        <x:v>2.3</x:v>
      </x:c>
    </x:row>
    <x:row r="106" ht="39" customHeight="1">
      <x:c r="A106" s="12" t="str">
        <x:v>C05-north_return</x:v>
      </x:c>
      <x:c r="B106" s="12" t="str">
        <x:v>南次卧B</x:v>
      </x:c>
      <x:c r="C106" s="12" t="str">
        <x:v>南次卧B L衣柜北返段</x:v>
      </x:c>
      <x:c r="D106" s="14" t="str">
        <x:v>柜高距完成地面</x:v>
      </x:c>
      <x:c r="E106" s="22" t="n">
        <x:v>2.288</x:v>
      </x:c>
      <x:c r="F106" s="24" t="n">
        <x:f>IF(COUNT(E106)=1,E106*1000,"")</x:f>
        <x:v>2288</x:v>
      </x:c>
      <x:c r="G106" s="26"/>
      <x:c r="H106" s="14" t="str">
        <x:v>方案尺寸；口径见项目名称，实测待填</x:v>
      </x:c>
      <x:c r="I106" s="2"/>
      <x:c r="J106" s="2" t="str">
        <x:v>bedroom-joinery-spec-v11.json</x:v>
      </x:c>
      <x:c r="K106" s="2" t="str">
        <x:v>/cabinets/1/finished_height_m</x:v>
      </x:c>
      <x:c r="L106" s="2" t="n">
        <x:v>2.288</x:v>
      </x:c>
    </x:row>
    <x:row r="107" ht="39" customHeight="1">
      <x:c r="A107" s="2" t="str">
        <x:v>C05-north_return</x:v>
      </x:c>
      <x:c r="B107" s="2" t="str">
        <x:v>南次卧B</x:v>
      </x:c>
      <x:c r="C107" s="2" t="str">
        <x:v>南次卧B L衣柜北返段</x:v>
      </x:c>
      <x:c r="D107" s="13" t="str">
        <x:v>双层短衣挂区</x:v>
      </x:c>
      <x:c r="E107" s="21" t="n">
        <x:v>0.44299999999999995</x:v>
      </x:c>
      <x:c r="F107" s="23" t="n">
        <x:f>IF(COUNT(E107)=1,E107*1000,"")</x:f>
        <x:v>442.99999999999994</x:v>
      </x:c>
      <x:c r="G107" s="26"/>
      <x:c r="H107" s="13" t="str">
        <x:v>V10_C05_north_return_bay1；净宽提案，盲角不计挂衣容量</x:v>
      </x:c>
      <x:c r="I107" s="2"/>
      <x:c r="J107" s="2" t="str">
        <x:v>bedroom-joinery-spec-v11.json</x:v>
      </x:c>
      <x:c r="K107" s="2" t="str">
        <x:v>/cabinets/1/zones/0/width_clear_m</x:v>
      </x:c>
      <x:c r="L107" s="2" t="n">
        <x:v>0.44299999999999995</x:v>
      </x:c>
    </x:row>
    <x:row r="108" ht="39" customHeight="1">
      <x:c r="A108" s="12" t="str">
        <x:v>C05-north_return</x:v>
      </x:c>
      <x:c r="B108" s="12" t="str">
        <x:v>南次卧B</x:v>
      </x:c>
      <x:c r="C108" s="12" t="str">
        <x:v>南次卧B L衣柜北返段</x:v>
      </x:c>
      <x:c r="D108" s="14" t="str">
        <x:v>双层短衣挂区</x:v>
      </x:c>
      <x:c r="E108" s="22" t="n">
        <x:v>0.44299999999999995</x:v>
      </x:c>
      <x:c r="F108" s="24" t="n">
        <x:f>IF(COUNT(E108)=1,E108*1000,"")</x:f>
        <x:v>442.99999999999994</x:v>
      </x:c>
      <x:c r="G108" s="26"/>
      <x:c r="H108" s="14" t="str">
        <x:v>V10_C05_north_return_bay2；净宽提案，盲角不计挂衣容量</x:v>
      </x:c>
      <x:c r="I108" s="2"/>
      <x:c r="J108" s="2" t="str">
        <x:v>bedroom-joinery-spec-v11.json</x:v>
      </x:c>
      <x:c r="K108" s="2" t="str">
        <x:v>/cabinets/1/zones/1/width_clear_m</x:v>
      </x:c>
      <x:c r="L108" s="2" t="n">
        <x:v>0.44299999999999995</x:v>
      </x:c>
    </x:row>
    <x:row r="109" ht="84" customHeight="1">
      <x:c r="A109" s="2" t="str">
        <x:v>C05-north_return</x:v>
      </x:c>
      <x:c r="B109" s="2" t="str">
        <x:v>南次卧B</x:v>
      </x:c>
      <x:c r="C109" s="2" t="str">
        <x:v>南次卧B L衣柜北返段</x:v>
      </x:c>
      <x:c r="D109" s="13" t="str">
        <x:v>柜体配置</x:v>
      </x:c>
      <x:c r="E109" s="21"/>
      <x:c r="F109" s="23" t="str">
        <x:f>IF(COUNT(E109)=1,E109*1000,"")</x:f>
      </x:c>
      <x:c r="G109" s="26"/>
      <x:c r="H109" s="13" t="str">
        <x:v>白色返段；本段设置双层短衣区。</x:v>
      </x:c>
      <x:c r="I109" s="2"/>
      <x:c r="J109" s="2" t="str">
        <x:v>柜体与材料清单.json</x:v>
      </x:c>
      <x:c r="K109" s="2" t="str">
        <x:v>/cabinets/16/configuration</x:v>
      </x:c>
      <x:c r="L109" s="2" t="str">
        <x:v>白色返段；本段设置双层短衣区。</x:v>
      </x:c>
    </x:row>
    <x:row r="110" ht="39" customHeight="1">
      <x:c r="A110" s="12" t="str">
        <x:v>B01-south_window_low</x:v>
      </x:c>
      <x:c r="B110" s="12" t="str">
        <x:v>南次卧B</x:v>
      </x:c>
      <x:c r="C110" s="12" t="str">
        <x:v>南次卧B南窗下白柜</x:v>
      </x:c>
      <x:c r="D110" s="14" t="str">
        <x:v>宽×深×柜顶绝对Z：宽</x:v>
      </x:c>
      <x:c r="E110" s="22" t="n">
        <x:v>1.82</x:v>
      </x:c>
      <x:c r="F110" s="24" t="n">
        <x:f>IF(COUNT(E110)=1,E110*1000,"")</x:f>
        <x:v>1820</x:v>
      </x:c>
      <x:c r="G110" s="26"/>
      <x:c r="H110" s="14" t="str">
        <x:v>方案尺寸；口径见项目名称，实测待填</x:v>
      </x:c>
      <x:c r="I110" s="2"/>
      <x:c r="J110" s="2" t="str">
        <x:v>bedroom-joinery-spec-v11.json</x:v>
      </x:c>
      <x:c r="K110" s="2" t="str">
        <x:v>/cabinets/2/width_depth_top_m/0</x:v>
      </x:c>
      <x:c r="L110" s="2" t="n">
        <x:v>1.82</x:v>
      </x:c>
    </x:row>
    <x:row r="111" ht="39" customHeight="1">
      <x:c r="A111" s="2" t="str">
        <x:v>B01-south_window_low</x:v>
      </x:c>
      <x:c r="B111" s="2" t="str">
        <x:v>南次卧B</x:v>
      </x:c>
      <x:c r="C111" s="2" t="str">
        <x:v>南次卧B南窗下白柜</x:v>
      </x:c>
      <x:c r="D111" s="13" t="str">
        <x:v>宽×深×柜顶绝对Z：深</x:v>
      </x:c>
      <x:c r="E111" s="21" t="n">
        <x:v>0.45</x:v>
      </x:c>
      <x:c r="F111" s="23" t="n">
        <x:f>IF(COUNT(E111)=1,E111*1000,"")</x:f>
        <x:v>450</x:v>
      </x:c>
      <x:c r="G111" s="26"/>
      <x:c r="H111" s="13" t="str">
        <x:v>方案尺寸；口径见项目名称，实测待填</x:v>
      </x:c>
      <x:c r="I111" s="2"/>
      <x:c r="J111" s="2" t="str">
        <x:v>bedroom-joinery-spec-v11.json</x:v>
      </x:c>
      <x:c r="K111" s="2" t="str">
        <x:v>/cabinets/2/width_depth_top_m/1</x:v>
      </x:c>
      <x:c r="L111" s="2" t="n">
        <x:v>0.45</x:v>
      </x:c>
    </x:row>
    <x:row r="112" ht="39" customHeight="1">
      <x:c r="A112" s="12" t="str">
        <x:v>B01-south_window_low</x:v>
      </x:c>
      <x:c r="B112" s="12" t="str">
        <x:v>南次卧B</x:v>
      </x:c>
      <x:c r="C112" s="12" t="str">
        <x:v>南次卧B南窗下白柜</x:v>
      </x:c>
      <x:c r="D112" s="14" t="str">
        <x:v>宽×深×柜顶绝对Z：柜顶绝对Z</x:v>
      </x:c>
      <x:c r="E112" s="22" t="n">
        <x:v>0.5</x:v>
      </x:c>
      <x:c r="F112" s="24" t="n">
        <x:f>IF(COUNT(E112)=1,E112*1000,"")</x:f>
        <x:v>500</x:v>
      </x:c>
      <x:c r="G112" s="26"/>
      <x:c r="H112" s="14" t="str">
        <x:v>方案尺寸；口径见项目名称，实测待填</x:v>
      </x:c>
      <x:c r="I112" s="2"/>
      <x:c r="J112" s="2" t="str">
        <x:v>bedroom-joinery-spec-v11.json</x:v>
      </x:c>
      <x:c r="K112" s="2" t="str">
        <x:v>/cabinets/2/width_depth_top_m/2</x:v>
      </x:c>
      <x:c r="L112" s="2" t="n">
        <x:v>0.5</x:v>
      </x:c>
    </x:row>
    <x:row r="113" ht="39" customHeight="1">
      <x:c r="A113" s="2" t="str">
        <x:v>B01-south_window_low</x:v>
      </x:c>
      <x:c r="B113" s="2" t="str">
        <x:v>南次卧B</x:v>
      </x:c>
      <x:c r="C113" s="2" t="str">
        <x:v>南次卧B南窗下白柜</x:v>
      </x:c>
      <x:c r="D113" s="13" t="str">
        <x:v>柜高距完成地面</x:v>
      </x:c>
      <x:c r="E113" s="21" t="n">
        <x:v>0.488</x:v>
      </x:c>
      <x:c r="F113" s="23" t="n">
        <x:f>IF(COUNT(E113)=1,E113*1000,"")</x:f>
        <x:v>488</x:v>
      </x:c>
      <x:c r="G113" s="26"/>
      <x:c r="H113" s="13" t="str">
        <x:v>方案尺寸；口径见项目名称，实测待填</x:v>
      </x:c>
      <x:c r="I113" s="2"/>
      <x:c r="J113" s="2" t="str">
        <x:v>bedroom-joinery-spec-v11.json</x:v>
      </x:c>
      <x:c r="K113" s="2" t="str">
        <x:v>/cabinets/2/finished_height_m</x:v>
      </x:c>
      <x:c r="L113" s="2" t="n">
        <x:v>0.488</x:v>
      </x:c>
    </x:row>
    <x:row r="114" ht="84" customHeight="1">
      <x:c r="A114" s="12" t="str">
        <x:v>B01-south_window_low</x:v>
      </x:c>
      <x:c r="B114" s="12" t="str">
        <x:v>南次卧B</x:v>
      </x:c>
      <x:c r="C114" s="12" t="str">
        <x:v>南次卧B南窗下白柜</x:v>
      </x:c>
      <x:c r="D114" s="14" t="str">
        <x:v>柜体配置</x:v>
      </x:c>
      <x:c r="E114" s="22"/>
      <x:c r="F114" s="24" t="str">
        <x:f>IF(COUNT(E114)=1,E114*1000,"")</x:f>
      </x:c>
      <x:c r="G114" s="26"/>
      <x:c r="H114" s="14" t="str">
        <x:v>白色窗下柜门；原窗洞与窗台不改。</x:v>
      </x:c>
      <x:c r="I114" s="2"/>
      <x:c r="J114" s="2" t="str">
        <x:v>柜体与材料清单.json</x:v>
      </x:c>
      <x:c r="K114" s="2" t="str">
        <x:v>/cabinets/17/configuration</x:v>
      </x:c>
      <x:c r="L114" s="2" t="str">
        <x:v>白色窗下柜门；原窗洞与窗台不改。</x:v>
      </x:c>
    </x:row>
    <x:row r="115" ht="39" customHeight="1">
      <x:c r="A115" s="2" t="str">
        <x:v>C06-main</x:v>
      </x:c>
      <x:c r="B115" s="2" t="str">
        <x:v>南主卧C</x:v>
      </x:c>
      <x:c r="C115" s="2" t="str">
        <x:v>南主卧C连续L柜主段</x:v>
      </x:c>
      <x:c r="D115" s="13" t="str">
        <x:v>宽×深×柜顶绝对Z：宽</x:v>
      </x:c>
      <x:c r="E115" s="21" t="n">
        <x:v>2.1</x:v>
      </x:c>
      <x:c r="F115" s="23" t="n">
        <x:f>IF(COUNT(E115)=1,E115*1000,"")</x:f>
        <x:v>2100</x:v>
      </x:c>
      <x:c r="G115" s="26"/>
      <x:c r="H115" s="13" t="str">
        <x:v>方案尺寸；口径见项目名称，实测待填</x:v>
      </x:c>
      <x:c r="I115" s="2"/>
      <x:c r="J115" s="2" t="str">
        <x:v>bedroom-joinery-spec-v11.json</x:v>
      </x:c>
      <x:c r="K115" s="2" t="str">
        <x:v>/cabinets/3/width_depth_top_m/0</x:v>
      </x:c>
      <x:c r="L115" s="2" t="n">
        <x:v>2.1</x:v>
      </x:c>
    </x:row>
    <x:row r="116" ht="39" customHeight="1">
      <x:c r="A116" s="12" t="str">
        <x:v>C06-main</x:v>
      </x:c>
      <x:c r="B116" s="12" t="str">
        <x:v>南主卧C</x:v>
      </x:c>
      <x:c r="C116" s="12" t="str">
        <x:v>南主卧C连续L柜主段</x:v>
      </x:c>
      <x:c r="D116" s="14" t="str">
        <x:v>宽×深×柜顶绝对Z：深</x:v>
      </x:c>
      <x:c r="E116" s="22" t="n">
        <x:v>0.6</x:v>
      </x:c>
      <x:c r="F116" s="24" t="n">
        <x:f>IF(COUNT(E116)=1,E116*1000,"")</x:f>
        <x:v>600</x:v>
      </x:c>
      <x:c r="G116" s="26"/>
      <x:c r="H116" s="14" t="str">
        <x:v>方案尺寸；口径见项目名称，实测待填</x:v>
      </x:c>
      <x:c r="I116" s="2"/>
      <x:c r="J116" s="2" t="str">
        <x:v>bedroom-joinery-spec-v11.json</x:v>
      </x:c>
      <x:c r="K116" s="2" t="str">
        <x:v>/cabinets/3/width_depth_top_m/1</x:v>
      </x:c>
      <x:c r="L116" s="2" t="n">
        <x:v>0.6</x:v>
      </x:c>
    </x:row>
    <x:row r="117" ht="39" customHeight="1">
      <x:c r="A117" s="2" t="str">
        <x:v>C06-main</x:v>
      </x:c>
      <x:c r="B117" s="2" t="str">
        <x:v>南主卧C</x:v>
      </x:c>
      <x:c r="C117" s="2" t="str">
        <x:v>南主卧C连续L柜主段</x:v>
      </x:c>
      <x:c r="D117" s="13" t="str">
        <x:v>宽×深×柜顶绝对Z：柜顶绝对Z</x:v>
      </x:c>
      <x:c r="E117" s="21" t="n">
        <x:v>2.7</x:v>
      </x:c>
      <x:c r="F117" s="23" t="n">
        <x:f>IF(COUNT(E117)=1,E117*1000,"")</x:f>
        <x:v>2700</x:v>
      </x:c>
      <x:c r="G117" s="26"/>
      <x:c r="H117" s="13" t="str">
        <x:v>方案尺寸；口径见项目名称，实测待填</x:v>
      </x:c>
      <x:c r="I117" s="2"/>
      <x:c r="J117" s="2" t="str">
        <x:v>bedroom-joinery-spec-v11.json</x:v>
      </x:c>
      <x:c r="K117" s="2" t="str">
        <x:v>/cabinets/3/width_depth_top_m/2</x:v>
      </x:c>
      <x:c r="L117" s="2" t="n">
        <x:v>2.7</x:v>
      </x:c>
    </x:row>
    <x:row r="118" ht="39" customHeight="1">
      <x:c r="A118" s="12" t="str">
        <x:v>C06-main</x:v>
      </x:c>
      <x:c r="B118" s="12" t="str">
        <x:v>南主卧C</x:v>
      </x:c>
      <x:c r="C118" s="12" t="str">
        <x:v>南主卧C连续L柜主段</x:v>
      </x:c>
      <x:c r="D118" s="14" t="str">
        <x:v>柜高距完成地面</x:v>
      </x:c>
      <x:c r="E118" s="22" t="n">
        <x:v>2.688</x:v>
      </x:c>
      <x:c r="F118" s="24" t="n">
        <x:f>IF(COUNT(E118)=1,E118*1000,"")</x:f>
        <x:v>2688</x:v>
      </x:c>
      <x:c r="G118" s="26"/>
      <x:c r="H118" s="14" t="str">
        <x:v>方案尺寸；口径见项目名称，实测待填</x:v>
      </x:c>
      <x:c r="I118" s="2"/>
      <x:c r="J118" s="2" t="str">
        <x:v>bedroom-joinery-spec-v11.json</x:v>
      </x:c>
      <x:c r="K118" s="2" t="str">
        <x:v>/cabinets/3/finished_height_m</x:v>
      </x:c>
      <x:c r="L118" s="2" t="n">
        <x:v>2.688</x:v>
      </x:c>
    </x:row>
    <x:row r="119" ht="39" customHeight="1">
      <x:c r="A119" s="2" t="str">
        <x:v>C06-main</x:v>
      </x:c>
      <x:c r="B119" s="2" t="str">
        <x:v>南主卧C</x:v>
      </x:c>
      <x:c r="C119" s="2" t="str">
        <x:v>南主卧C连续L柜主段</x:v>
      </x:c>
      <x:c r="D119" s="13" t="str">
        <x:v>长衣挂区</x:v>
      </x:c>
      <x:c r="E119" s="21" t="n">
        <x:v>0.723</x:v>
      </x:c>
      <x:c r="F119" s="23" t="n">
        <x:f>IF(COUNT(E119)=1,E119*1000,"")</x:f>
        <x:v>723</x:v>
      </x:c>
      <x:c r="G119" s="26"/>
      <x:c r="H119" s="13" t="str">
        <x:v>V10_C06_main_bay1；净宽提案，盲角不计挂衣容量</x:v>
      </x:c>
      <x:c r="I119" s="2"/>
      <x:c r="J119" s="2" t="str">
        <x:v>bedroom-joinery-spec-v11.json</x:v>
      </x:c>
      <x:c r="K119" s="2" t="str">
        <x:v>/cabinets/3/zones/0/width_clear_m</x:v>
      </x:c>
      <x:c r="L119" s="2" t="n">
        <x:v>0.723</x:v>
      </x:c>
    </x:row>
    <x:row r="120" ht="39" customHeight="1">
      <x:c r="A120" s="12" t="str">
        <x:v>C06-main</x:v>
      </x:c>
      <x:c r="B120" s="12" t="str">
        <x:v>南主卧C</x:v>
      </x:c>
      <x:c r="C120" s="12" t="str">
        <x:v>南主卧C连续L柜主段</x:v>
      </x:c>
      <x:c r="D120" s="14" t="str">
        <x:v>双层短衣挂区</x:v>
      </x:c>
      <x:c r="E120" s="22" t="n">
        <x:v>0.732</x:v>
      </x:c>
      <x:c r="F120" s="24" t="n">
        <x:f>IF(COUNT(E120)=1,E120*1000,"")</x:f>
        <x:v>732</x:v>
      </x:c>
      <x:c r="G120" s="26"/>
      <x:c r="H120" s="14" t="str">
        <x:v>V10_C06_main_bay2；净宽提案，盲角不计挂衣容量</x:v>
      </x:c>
      <x:c r="I120" s="2"/>
      <x:c r="J120" s="2" t="str">
        <x:v>bedroom-joinery-spec-v11.json</x:v>
      </x:c>
      <x:c r="K120" s="2" t="str">
        <x:v>/cabinets/3/zones/1/width_clear_m</x:v>
      </x:c>
      <x:c r="L120" s="2" t="n">
        <x:v>0.732</x:v>
      </x:c>
    </x:row>
    <x:row r="121" ht="39" customHeight="1">
      <x:c r="A121" s="2" t="str">
        <x:v>C06-main</x:v>
      </x:c>
      <x:c r="B121" s="2" t="str">
        <x:v>南主卧C</x:v>
      </x:c>
      <x:c r="C121" s="2" t="str">
        <x:v>南主卧C连续L柜主段</x:v>
      </x:c>
      <x:c r="D121" s="13" t="str">
        <x:v>盲角连接区</x:v>
      </x:c>
      <x:c r="E121" s="21" t="n">
        <x:v>0.5729999999999998</x:v>
      </x:c>
      <x:c r="F121" s="23" t="n">
        <x:f>IF(COUNT(E121)=1,E121*1000,"")</x:f>
        <x:v>572.9999999999999</x:v>
      </x:c>
      <x:c r="G121" s="26"/>
      <x:c r="H121" s="13" t="str">
        <x:v>V10_C06_main_bay3；净宽提案，盲角不计挂衣容量</x:v>
      </x:c>
      <x:c r="I121" s="2"/>
      <x:c r="J121" s="2" t="str">
        <x:v>bedroom-joinery-spec-v11.json</x:v>
      </x:c>
      <x:c r="K121" s="2" t="str">
        <x:v>/cabinets/3/zones/2/width_clear_m</x:v>
      </x:c>
      <x:c r="L121" s="2" t="n">
        <x:v>0.5729999999999998</x:v>
      </x:c>
    </x:row>
    <x:row r="122" ht="84" customHeight="1">
      <x:c r="A122" s="12" t="str">
        <x:v>C06-main</x:v>
      </x:c>
      <x:c r="B122" s="12" t="str">
        <x:v>南主卧C</x:v>
      </x:c>
      <x:c r="C122" s="12" t="str">
        <x:v>南主卧C连续L柜主段</x:v>
      </x:c>
      <x:c r="D122" s="14" t="str">
        <x:v>柜体配置</x:v>
      </x:c>
      <x:c r="E122" s="22"/>
      <x:c r="F122" s="24" t="str">
        <x:f>IF(COUNT(E122)=1,E122*1000,"")</x:f>
      </x:c>
      <x:c r="G122" s="26"/>
      <x:c r="H122" s="14" t="str">
        <x:v>白色门板；长衣、双层短衣与封闭盲转角。</x:v>
      </x:c>
      <x:c r="I122" s="2"/>
      <x:c r="J122" s="2" t="str">
        <x:v>柜体与材料清单.json</x:v>
      </x:c>
      <x:c r="K122" s="2" t="str">
        <x:v>/cabinets/18/configuration</x:v>
      </x:c>
      <x:c r="L122" s="2" t="str">
        <x:v>白色门板；长衣、双层短衣与封闭盲转角。</x:v>
      </x:c>
    </x:row>
    <x:row r="123" ht="39" customHeight="1">
      <x:c r="A123" s="2" t="str">
        <x:v>C06-east_return</x:v>
      </x:c>
      <x:c r="B123" s="2" t="str">
        <x:v>南主卧C</x:v>
      </x:c>
      <x:c r="C123" s="2" t="str">
        <x:v>南主卧C连续L柜东返段</x:v>
      </x:c>
      <x:c r="D123" s="13" t="str">
        <x:v>宽×深×柜顶绝对Z：宽</x:v>
      </x:c>
      <x:c r="E123" s="21" t="n">
        <x:v>1.26</x:v>
      </x:c>
      <x:c r="F123" s="23" t="n">
        <x:f>IF(COUNT(E123)=1,E123*1000,"")</x:f>
        <x:v>1260</x:v>
      </x:c>
      <x:c r="G123" s="26"/>
      <x:c r="H123" s="13" t="str">
        <x:v>方案尺寸；口径见项目名称，实测待填</x:v>
      </x:c>
      <x:c r="I123" s="2"/>
      <x:c r="J123" s="2" t="str">
        <x:v>bedroom-joinery-spec-v11.json</x:v>
      </x:c>
      <x:c r="K123" s="2" t="str">
        <x:v>/cabinets/4/width_depth_top_m/0</x:v>
      </x:c>
      <x:c r="L123" s="2" t="n">
        <x:v>1.26</x:v>
      </x:c>
    </x:row>
    <x:row r="124" ht="39" customHeight="1">
      <x:c r="A124" s="12" t="str">
        <x:v>C06-east_return</x:v>
      </x:c>
      <x:c r="B124" s="12" t="str">
        <x:v>南主卧C</x:v>
      </x:c>
      <x:c r="C124" s="12" t="str">
        <x:v>南主卧C连续L柜东返段</x:v>
      </x:c>
      <x:c r="D124" s="14" t="str">
        <x:v>宽×深×柜顶绝对Z：深</x:v>
      </x:c>
      <x:c r="E124" s="22" t="n">
        <x:v>0.6</x:v>
      </x:c>
      <x:c r="F124" s="24" t="n">
        <x:f>IF(COUNT(E124)=1,E124*1000,"")</x:f>
        <x:v>600</x:v>
      </x:c>
      <x:c r="G124" s="26"/>
      <x:c r="H124" s="14" t="str">
        <x:v>方案尺寸；口径见项目名称，实测待填</x:v>
      </x:c>
      <x:c r="I124" s="2"/>
      <x:c r="J124" s="2" t="str">
        <x:v>bedroom-joinery-spec-v11.json</x:v>
      </x:c>
      <x:c r="K124" s="2" t="str">
        <x:v>/cabinets/4/width_depth_top_m/1</x:v>
      </x:c>
      <x:c r="L124" s="2" t="n">
        <x:v>0.6</x:v>
      </x:c>
    </x:row>
    <x:row r="125" ht="39" customHeight="1">
      <x:c r="A125" s="2" t="str">
        <x:v>C06-east_return</x:v>
      </x:c>
      <x:c r="B125" s="2" t="str">
        <x:v>南主卧C</x:v>
      </x:c>
      <x:c r="C125" s="2" t="str">
        <x:v>南主卧C连续L柜东返段</x:v>
      </x:c>
      <x:c r="D125" s="13" t="str">
        <x:v>宽×深×柜顶绝对Z：柜顶绝对Z</x:v>
      </x:c>
      <x:c r="E125" s="21" t="n">
        <x:v>2.7</x:v>
      </x:c>
      <x:c r="F125" s="23" t="n">
        <x:f>IF(COUNT(E125)=1,E125*1000,"")</x:f>
        <x:v>2700</x:v>
      </x:c>
      <x:c r="G125" s="26"/>
      <x:c r="H125" s="13" t="str">
        <x:v>方案尺寸；口径见项目名称，实测待填</x:v>
      </x:c>
      <x:c r="I125" s="2"/>
      <x:c r="J125" s="2" t="str">
        <x:v>bedroom-joinery-spec-v11.json</x:v>
      </x:c>
      <x:c r="K125" s="2" t="str">
        <x:v>/cabinets/4/width_depth_top_m/2</x:v>
      </x:c>
      <x:c r="L125" s="2" t="n">
        <x:v>2.7</x:v>
      </x:c>
    </x:row>
    <x:row r="126" ht="39" customHeight="1">
      <x:c r="A126" s="12" t="str">
        <x:v>C06-east_return</x:v>
      </x:c>
      <x:c r="B126" s="12" t="str">
        <x:v>南主卧C</x:v>
      </x:c>
      <x:c r="C126" s="12" t="str">
        <x:v>南主卧C连续L柜东返段</x:v>
      </x:c>
      <x:c r="D126" s="14" t="str">
        <x:v>柜高距完成地面</x:v>
      </x:c>
      <x:c r="E126" s="22" t="n">
        <x:v>2.688</x:v>
      </x:c>
      <x:c r="F126" s="24" t="n">
        <x:f>IF(COUNT(E126)=1,E126*1000,"")</x:f>
        <x:v>2688</x:v>
      </x:c>
      <x:c r="G126" s="26"/>
      <x:c r="H126" s="14" t="str">
        <x:v>方案尺寸；口径见项目名称，实测待填</x:v>
      </x:c>
      <x:c r="I126" s="2"/>
      <x:c r="J126" s="2" t="str">
        <x:v>bedroom-joinery-spec-v11.json</x:v>
      </x:c>
      <x:c r="K126" s="2" t="str">
        <x:v>/cabinets/4/finished_height_m</x:v>
      </x:c>
      <x:c r="L126" s="2" t="n">
        <x:v>2.688</x:v>
      </x:c>
    </x:row>
    <x:row r="127" ht="39" customHeight="1">
      <x:c r="A127" s="2" t="str">
        <x:v>C06-east_return</x:v>
      </x:c>
      <x:c r="B127" s="2" t="str">
        <x:v>南主卧C</x:v>
      </x:c>
      <x:c r="C127" s="2" t="str">
        <x:v>南主卧C连续L柜东返段</x:v>
      </x:c>
      <x:c r="D127" s="13" t="str">
        <x:v>双层短衣挂区</x:v>
      </x:c>
      <x:c r="E127" s="21" t="n">
        <x:v>0.603</x:v>
      </x:c>
      <x:c r="F127" s="23" t="n">
        <x:f>IF(COUNT(E127)=1,E127*1000,"")</x:f>
        <x:v>603</x:v>
      </x:c>
      <x:c r="G127" s="26"/>
      <x:c r="H127" s="13" t="str">
        <x:v>V10_C06_east_return_bay1；净宽提案，盲角不计挂衣容量</x:v>
      </x:c>
      <x:c r="I127" s="2"/>
      <x:c r="J127" s="2" t="str">
        <x:v>bedroom-joinery-spec-v11.json</x:v>
      </x:c>
      <x:c r="K127" s="2" t="str">
        <x:v>/cabinets/4/zones/0/width_clear_m</x:v>
      </x:c>
      <x:c r="L127" s="2" t="n">
        <x:v>0.603</x:v>
      </x:c>
    </x:row>
    <x:row r="128" ht="39" customHeight="1">
      <x:c r="A128" s="12" t="str">
        <x:v>C06-east_return</x:v>
      </x:c>
      <x:c r="B128" s="12" t="str">
        <x:v>南主卧C</x:v>
      </x:c>
      <x:c r="C128" s="12" t="str">
        <x:v>南主卧C连续L柜东返段</x:v>
      </x:c>
      <x:c r="D128" s="14" t="str">
        <x:v>双层短衣挂区</x:v>
      </x:c>
      <x:c r="E128" s="22" t="n">
        <x:v>0.603</x:v>
      </x:c>
      <x:c r="F128" s="24" t="n">
        <x:f>IF(COUNT(E128)=1,E128*1000,"")</x:f>
        <x:v>603</x:v>
      </x:c>
      <x:c r="G128" s="26"/>
      <x:c r="H128" s="14" t="str">
        <x:v>V10_C06_east_return_bay2；净宽提案，盲角不计挂衣容量</x:v>
      </x:c>
      <x:c r="I128" s="2"/>
      <x:c r="J128" s="2" t="str">
        <x:v>bedroom-joinery-spec-v11.json</x:v>
      </x:c>
      <x:c r="K128" s="2" t="str">
        <x:v>/cabinets/4/zones/1/width_clear_m</x:v>
      </x:c>
      <x:c r="L128" s="2" t="n">
        <x:v>0.603</x:v>
      </x:c>
    </x:row>
    <x:row r="129" ht="84" customHeight="1">
      <x:c r="A129" s="2" t="str">
        <x:v>C06-east_return</x:v>
      </x:c>
      <x:c r="B129" s="2" t="str">
        <x:v>南主卧C</x:v>
      </x:c>
      <x:c r="C129" s="2" t="str">
        <x:v>南主卧C连续L柜东返段</x:v>
      </x:c>
      <x:c r="D129" s="13" t="str">
        <x:v>柜体配置</x:v>
      </x:c>
      <x:c r="E129" s="21"/>
      <x:c r="F129" s="23" t="str">
        <x:f>IF(COUNT(E129)=1,E129*1000,"")</x:f>
      </x:c>
      <x:c r="G129" s="26"/>
      <x:c r="H129" s="13" t="str">
        <x:v>白色返段；本段设置双层短衣区。</x:v>
      </x:c>
      <x:c r="I129" s="2"/>
      <x:c r="J129" s="2" t="str">
        <x:v>柜体与材料清单.json</x:v>
      </x:c>
      <x:c r="K129" s="2" t="str">
        <x:v>/cabinets/19/configuration</x:v>
      </x:c>
      <x:c r="L129" s="2" t="str">
        <x:v>白色返段；本段设置双层短衣区。</x:v>
      </x:c>
    </x:row>
    <x:row r="130" ht="39" customHeight="1">
      <x:c r="A130" s="12" t="str">
        <x:v>M01</x:v>
      </x:c>
      <x:c r="B130" s="12" t="str">
        <x:v>南主卧C</x:v>
      </x:c>
      <x:c r="C130" s="12" t="str">
        <x:v>主卧C窗下白门坐榻柜</x:v>
      </x:c>
      <x:c r="D130" s="14" t="str">
        <x:v>方案宽</x:v>
      </x:c>
      <x:c r="E130" s="22" t="n">
        <x:v>1.62</x:v>
      </x:c>
      <x:c r="F130" s="24" t="n">
        <x:f>IF(COUNT(E130)=1,E130*1000,"")</x:f>
        <x:v>1620</x:v>
      </x:c>
      <x:c r="G130" s="26"/>
      <x:c r="H130" s="14" t="str">
        <x:v>方案尺寸；口径见项目名称，实测待填</x:v>
      </x:c>
      <x:c r="I130" s="2"/>
      <x:c r="J130" s="2" t="str">
        <x:v>cabinet-schedule.json</x:v>
      </x:c>
      <x:c r="K130" s="2" t="str">
        <x:v>/9/width</x:v>
      </x:c>
      <x:c r="L130" s="2" t="n">
        <x:v>1.62</x:v>
      </x:c>
    </x:row>
    <x:row r="131" ht="39" customHeight="1">
      <x:c r="A131" s="2" t="str">
        <x:v>M01</x:v>
      </x:c>
      <x:c r="B131" s="2" t="str">
        <x:v>南主卧C</x:v>
      </x:c>
      <x:c r="C131" s="2" t="str">
        <x:v>主卧C窗下白门坐榻柜</x:v>
      </x:c>
      <x:c r="D131" s="13" t="str">
        <x:v>方案深</x:v>
      </x:c>
      <x:c r="E131" s="21" t="n">
        <x:v>0.44</x:v>
      </x:c>
      <x:c r="F131" s="23" t="n">
        <x:f>IF(COUNT(E131)=1,E131*1000,"")</x:f>
        <x:v>440</x:v>
      </x:c>
      <x:c r="G131" s="26"/>
      <x:c r="H131" s="13" t="str">
        <x:v>方案尺寸；口径见项目名称，实测待填</x:v>
      </x:c>
      <x:c r="I131" s="2"/>
      <x:c r="J131" s="2" t="str">
        <x:v>cabinet-schedule.json</x:v>
      </x:c>
      <x:c r="K131" s="2" t="str">
        <x:v>/9/depth</x:v>
      </x:c>
      <x:c r="L131" s="2" t="n">
        <x:v>0.44</x:v>
      </x:c>
    </x:row>
    <x:row r="132" ht="39" customHeight="1">
      <x:c r="A132" s="12" t="str">
        <x:v>M01</x:v>
      </x:c>
      <x:c r="B132" s="12" t="str">
        <x:v>南主卧C</x:v>
      </x:c>
      <x:c r="C132" s="12" t="str">
        <x:v>主卧C窗下白门坐榻柜</x:v>
      </x:c>
      <x:c r="D132" s="14" t="str">
        <x:v>构件方案高度</x:v>
      </x:c>
      <x:c r="E132" s="22" t="n">
        <x:v>0.4</x:v>
      </x:c>
      <x:c r="F132" s="24" t="n">
        <x:f>IF(COUNT(E132)=1,E132*1000,"")</x:f>
        <x:v>400</x:v>
      </x:c>
      <x:c r="G132" s="26"/>
      <x:c r="H132" s="14" t="str">
        <x:v>方案尺寸；口径见项目名称，实测待填</x:v>
      </x:c>
      <x:c r="I132" s="2"/>
      <x:c r="J132" s="2" t="str">
        <x:v>cabinet-schedule.json</x:v>
      </x:c>
      <x:c r="K132" s="2" t="str">
        <x:v>/9/height</x:v>
      </x:c>
      <x:c r="L132" s="2" t="n">
        <x:v>0.4</x:v>
      </x:c>
    </x:row>
    <x:row r="133" ht="39" customHeight="1">
      <x:c r="A133" s="2" t="str">
        <x:v>M01</x:v>
      </x:c>
      <x:c r="B133" s="2" t="str">
        <x:v>南主卧C</x:v>
      </x:c>
      <x:c r="C133" s="2" t="str">
        <x:v>主卧C窗下白门坐榻柜</x:v>
      </x:c>
      <x:c r="D133" s="13" t="str">
        <x:v>构件底绝对Z</x:v>
      </x:c>
      <x:c r="E133" s="21" t="n">
        <x:v>0</x:v>
      </x:c>
      <x:c r="F133" s="23" t="n">
        <x:f>IF(COUNT(E133)=1,E133*1000,"")</x:f>
        <x:v>0</x:v>
      </x:c>
      <x:c r="G133" s="26"/>
      <x:c r="H133" s="13" t="str">
        <x:v>方案尺寸；口径见项目名称，实测待填</x:v>
      </x:c>
      <x:c r="I133" s="2"/>
      <x:c r="J133" s="2" t="str">
        <x:v>cabinet-schedule.json</x:v>
      </x:c>
      <x:c r="K133" s="2" t="str">
        <x:v>/9/zbase</x:v>
      </x:c>
      <x:c r="L133" s="2" t="n">
        <x:v>0</x:v>
      </x:c>
    </x:row>
    <x:row r="134" ht="84" customHeight="1">
      <x:c r="A134" s="12" t="str">
        <x:v>M01</x:v>
      </x:c>
      <x:c r="B134" s="12" t="str">
        <x:v>南主卧C</x:v>
      </x:c>
      <x:c r="C134" s="12" t="str">
        <x:v>主卧C窗下白门坐榻柜</x:v>
      </x:c>
      <x:c r="D134" s="14" t="str">
        <x:v>柜体配置</x:v>
      </x:c>
      <x:c r="E134" s="22"/>
      <x:c r="F134" s="24" t="str">
        <x:f>IF(COUNT(E134)=1,E134*1000,"")</x:f>
      </x:c>
      <x:c r="G134" s="26"/>
      <x:c r="H134" s="14" t="str">
        <x:v>胡桃风格床、床头与局部木色保留，窗下柜门白色。</x:v>
      </x:c>
      <x:c r="I134" s="2"/>
      <x:c r="J134" s="2" t="str">
        <x:v>柜体与材料清单.json</x:v>
      </x:c>
      <x:c r="K134" s="2" t="str">
        <x:v>/cabinets/20/configuration</x:v>
      </x:c>
      <x:c r="L134" s="2" t="str">
        <x:v>胡桃风格床、床头与局部木色保留，窗下柜门白色。</x:v>
      </x:c>
    </x:row>
    <x:row r="135" ht="39" customHeight="1">
      <x:c r="A135" s="2" t="str">
        <x:v>M02</x:v>
      </x:c>
      <x:c r="B135" s="2" t="str">
        <x:v>南主卧C</x:v>
      </x:c>
      <x:c r="C135" s="2" t="str">
        <x:v>主卧C悬浮梳妆台</x:v>
      </x:c>
      <x:c r="D135" s="13" t="str">
        <x:v>方案宽</x:v>
      </x:c>
      <x:c r="E135" s="21" t="n">
        <x:v>0.92</x:v>
      </x:c>
      <x:c r="F135" s="23" t="n">
        <x:f>IF(COUNT(E135)=1,E135*1000,"")</x:f>
        <x:v>920</x:v>
      </x:c>
      <x:c r="G135" s="26"/>
      <x:c r="H135" s="13" t="str">
        <x:v>方案尺寸；口径见项目名称，实测待填</x:v>
      </x:c>
      <x:c r="I135" s="2"/>
      <x:c r="J135" s="2" t="str">
        <x:v>cabinet-schedule.json</x:v>
      </x:c>
      <x:c r="K135" s="2" t="str">
        <x:v>/10/width</x:v>
      </x:c>
      <x:c r="L135" s="2" t="n">
        <x:v>0.92</x:v>
      </x:c>
    </x:row>
    <x:row r="136" ht="39" customHeight="1">
      <x:c r="A136" s="12" t="str">
        <x:v>M02</x:v>
      </x:c>
      <x:c r="B136" s="12" t="str">
        <x:v>南主卧C</x:v>
      </x:c>
      <x:c r="C136" s="12" t="str">
        <x:v>主卧C悬浮梳妆台</x:v>
      </x:c>
      <x:c r="D136" s="14" t="str">
        <x:v>方案深</x:v>
      </x:c>
      <x:c r="E136" s="22" t="n">
        <x:v>0.34</x:v>
      </x:c>
      <x:c r="F136" s="24" t="n">
        <x:f>IF(COUNT(E136)=1,E136*1000,"")</x:f>
        <x:v>340</x:v>
      </x:c>
      <x:c r="G136" s="26"/>
      <x:c r="H136" s="14" t="str">
        <x:v>方案尺寸；口径见项目名称，实测待填</x:v>
      </x:c>
      <x:c r="I136" s="2"/>
      <x:c r="J136" s="2" t="str">
        <x:v>cabinet-schedule.json</x:v>
      </x:c>
      <x:c r="K136" s="2" t="str">
        <x:v>/10/depth</x:v>
      </x:c>
      <x:c r="L136" s="2" t="n">
        <x:v>0.34</x:v>
      </x:c>
    </x:row>
    <x:row r="137" ht="39" customHeight="1">
      <x:c r="A137" s="2" t="str">
        <x:v>M02</x:v>
      </x:c>
      <x:c r="B137" s="2" t="str">
        <x:v>南主卧C</x:v>
      </x:c>
      <x:c r="C137" s="2" t="str">
        <x:v>主卧C悬浮梳妆台</x:v>
      </x:c>
      <x:c r="D137" s="13" t="str">
        <x:v>构件方案高度</x:v>
      </x:c>
      <x:c r="E137" s="21" t="n">
        <x:v>0.14</x:v>
      </x:c>
      <x:c r="F137" s="23" t="n">
        <x:f>IF(COUNT(E137)=1,E137*1000,"")</x:f>
        <x:v>140</x:v>
      </x:c>
      <x:c r="G137" s="26"/>
      <x:c r="H137" s="13" t="str">
        <x:v>方案尺寸；口径见项目名称，实测待填</x:v>
      </x:c>
      <x:c r="I137" s="2"/>
      <x:c r="J137" s="2" t="str">
        <x:v>cabinet-schedule.json</x:v>
      </x:c>
      <x:c r="K137" s="2" t="str">
        <x:v>/10/height</x:v>
      </x:c>
      <x:c r="L137" s="2" t="n">
        <x:v>0.14</x:v>
      </x:c>
    </x:row>
    <x:row r="138" ht="39" customHeight="1">
      <x:c r="A138" s="12" t="str">
        <x:v>M02</x:v>
      </x:c>
      <x:c r="B138" s="12" t="str">
        <x:v>南主卧C</x:v>
      </x:c>
      <x:c r="C138" s="12" t="str">
        <x:v>主卧C悬浮梳妆台</x:v>
      </x:c>
      <x:c r="D138" s="14" t="str">
        <x:v>构件底绝对Z</x:v>
      </x:c>
      <x:c r="E138" s="22" t="n">
        <x:v>0.62</x:v>
      </x:c>
      <x:c r="F138" s="24" t="n">
        <x:f>IF(COUNT(E138)=1,E138*1000,"")</x:f>
        <x:v>620</x:v>
      </x:c>
      <x:c r="G138" s="26"/>
      <x:c r="H138" s="14" t="str">
        <x:v>方案尺寸；口径见项目名称，实测待填</x:v>
      </x:c>
      <x:c r="I138" s="2"/>
      <x:c r="J138" s="2" t="str">
        <x:v>cabinet-schedule.json</x:v>
      </x:c>
      <x:c r="K138" s="2" t="str">
        <x:v>/10/zbase</x:v>
      </x:c>
      <x:c r="L138" s="2" t="n">
        <x:v>0.62</x:v>
      </x:c>
    </x:row>
    <x:row r="139" ht="84" customHeight="1">
      <x:c r="A139" s="2" t="str">
        <x:v>M02</x:v>
      </x:c>
      <x:c r="B139" s="2" t="str">
        <x:v>南主卧C</x:v>
      </x:c>
      <x:c r="C139" s="2" t="str">
        <x:v>主卧C悬浮梳妆台</x:v>
      </x:c>
      <x:c r="D139" s="13" t="str">
        <x:v>柜体配置</x:v>
      </x:c>
      <x:c r="E139" s="21"/>
      <x:c r="F139" s="23" t="str">
        <x:f>IF(COUNT(E139)=1,E139*1000,"")</x:f>
      </x:c>
      <x:c r="G139" s="26"/>
      <x:c r="H139" s="13" t="str">
        <x:v>胡桃风格床、床头与局部木色保留，窗下柜门白色。</x:v>
      </x:c>
      <x:c r="I139" s="2"/>
      <x:c r="J139" s="2" t="str">
        <x:v>柜体与材料清单.json</x:v>
      </x:c>
      <x:c r="K139" s="2" t="str">
        <x:v>/cabinets/21/configuration</x:v>
      </x:c>
      <x:c r="L139" s="2" t="str">
        <x:v>胡桃风格床、床头与局部木色保留，窗下柜门白色。</x:v>
      </x:c>
    </x:row>
    <x:row r="140" ht="39" customHeight="1">
      <x:c r="A140" s="12" t="str">
        <x:v>M03</x:v>
      </x:c>
      <x:c r="B140" s="12" t="str">
        <x:v>南主卧C</x:v>
      </x:c>
      <x:c r="C140" s="12" t="str">
        <x:v>主卧C窗边开放窄格</x:v>
      </x:c>
      <x:c r="D140" s="14" t="str">
        <x:v>方案宽</x:v>
      </x:c>
      <x:c r="E140" s="22" t="n">
        <x:v>0.56</x:v>
      </x:c>
      <x:c r="F140" s="24" t="n">
        <x:f>IF(COUNT(E140)=1,E140*1000,"")</x:f>
        <x:v>560</x:v>
      </x:c>
      <x:c r="G140" s="26"/>
      <x:c r="H140" s="14" t="str">
        <x:v>方案尺寸；口径见项目名称，实测待填</x:v>
      </x:c>
      <x:c r="I140" s="2"/>
      <x:c r="J140" s="2" t="str">
        <x:v>cabinet-schedule.json</x:v>
      </x:c>
      <x:c r="K140" s="2" t="str">
        <x:v>/11/width</x:v>
      </x:c>
      <x:c r="L140" s="2" t="n">
        <x:v>0.56</x:v>
      </x:c>
    </x:row>
    <x:row r="141" ht="39" customHeight="1">
      <x:c r="A141" s="2" t="str">
        <x:v>M03</x:v>
      </x:c>
      <x:c r="B141" s="2" t="str">
        <x:v>南主卧C</x:v>
      </x:c>
      <x:c r="C141" s="2" t="str">
        <x:v>主卧C窗边开放窄格</x:v>
      </x:c>
      <x:c r="D141" s="13" t="str">
        <x:v>方案深</x:v>
      </x:c>
      <x:c r="E141" s="21" t="n">
        <x:v>0.27</x:v>
      </x:c>
      <x:c r="F141" s="23" t="n">
        <x:f>IF(COUNT(E141)=1,E141*1000,"")</x:f>
        <x:v>270</x:v>
      </x:c>
      <x:c r="G141" s="26"/>
      <x:c r="H141" s="13" t="str">
        <x:v>方案尺寸；口径见项目名称，实测待填</x:v>
      </x:c>
      <x:c r="I141" s="2"/>
      <x:c r="J141" s="2" t="str">
        <x:v>cabinet-schedule.json</x:v>
      </x:c>
      <x:c r="K141" s="2" t="str">
        <x:v>/11/depth</x:v>
      </x:c>
      <x:c r="L141" s="2" t="n">
        <x:v>0.27</x:v>
      </x:c>
    </x:row>
    <x:row r="142" ht="39" customHeight="1">
      <x:c r="A142" s="12" t="str">
        <x:v>M03</x:v>
      </x:c>
      <x:c r="B142" s="12" t="str">
        <x:v>南主卧C</x:v>
      </x:c>
      <x:c r="C142" s="12" t="str">
        <x:v>主卧C窗边开放窄格</x:v>
      </x:c>
      <x:c r="D142" s="14" t="str">
        <x:v>构件方案高度</x:v>
      </x:c>
      <x:c r="E142" s="22" t="n">
        <x:v>1.06</x:v>
      </x:c>
      <x:c r="F142" s="24" t="n">
        <x:f>IF(COUNT(E142)=1,E142*1000,"")</x:f>
        <x:v>1060</x:v>
      </x:c>
      <x:c r="G142" s="26"/>
      <x:c r="H142" s="14" t="str">
        <x:v>方案尺寸；口径见项目名称，实测待填</x:v>
      </x:c>
      <x:c r="I142" s="2"/>
      <x:c r="J142" s="2" t="str">
        <x:v>cabinet-schedule.json</x:v>
      </x:c>
      <x:c r="K142" s="2" t="str">
        <x:v>/11/height</x:v>
      </x:c>
      <x:c r="L142" s="2" t="n">
        <x:v>1.06</x:v>
      </x:c>
    </x:row>
    <x:row r="143" ht="39" customHeight="1">
      <x:c r="A143" s="2" t="str">
        <x:v>M03</x:v>
      </x:c>
      <x:c r="B143" s="2" t="str">
        <x:v>南主卧C</x:v>
      </x:c>
      <x:c r="C143" s="2" t="str">
        <x:v>主卧C窗边开放窄格</x:v>
      </x:c>
      <x:c r="D143" s="13" t="str">
        <x:v>构件底绝对Z</x:v>
      </x:c>
      <x:c r="E143" s="21" t="n">
        <x:v>1.22</x:v>
      </x:c>
      <x:c r="F143" s="23" t="n">
        <x:f>IF(COUNT(E143)=1,E143*1000,"")</x:f>
        <x:v>1220</x:v>
      </x:c>
      <x:c r="G143" s="26"/>
      <x:c r="H143" s="13" t="str">
        <x:v>方案尺寸；口径见项目名称，实测待填</x:v>
      </x:c>
      <x:c r="I143" s="2"/>
      <x:c r="J143" s="2" t="str">
        <x:v>cabinet-schedule.json</x:v>
      </x:c>
      <x:c r="K143" s="2" t="str">
        <x:v>/11/zbase</x:v>
      </x:c>
      <x:c r="L143" s="2" t="n">
        <x:v>1.22</x:v>
      </x:c>
    </x:row>
    <x:row r="144" ht="84" customHeight="1">
      <x:c r="A144" s="12" t="str">
        <x:v>M03</x:v>
      </x:c>
      <x:c r="B144" s="12" t="str">
        <x:v>南主卧C</x:v>
      </x:c>
      <x:c r="C144" s="12" t="str">
        <x:v>主卧C窗边开放窄格</x:v>
      </x:c>
      <x:c r="D144" s="14" t="str">
        <x:v>柜体配置</x:v>
      </x:c>
      <x:c r="E144" s="22"/>
      <x:c r="F144" s="24" t="str">
        <x:f>IF(COUNT(E144)=1,E144*1000,"")</x:f>
      </x:c>
      <x:c r="G144" s="26"/>
      <x:c r="H144" s="14" t="str">
        <x:v>胡桃风格床、床头与局部木色保留，窗下柜门白色。</x:v>
      </x:c>
      <x:c r="I144" s="2"/>
      <x:c r="J144" s="2" t="str">
        <x:v>柜体与材料清单.json</x:v>
      </x:c>
      <x:c r="K144" s="2" t="str">
        <x:v>/cabinets/22/configuration</x:v>
      </x:c>
      <x:c r="L144" s="2" t="str">
        <x:v>胡桃风格床、床头与局部木色保留，窗下柜门白色。</x:v>
      </x:c>
    </x:row>
    <x:row r="145" ht="39" customHeight="1">
      <x:c r="A145" s="2" t="str">
        <x:v>L-tower</x:v>
      </x:c>
      <x:c r="B145" s="2" t="str">
        <x:v>卫生间A</x:v>
      </x:c>
      <x:c r="C145" s="2" t="str">
        <x:v>洗衣柜左侧白色窄高柜</x:v>
      </x:c>
      <x:c r="D145" s="13" t="str">
        <x:v>高柜宽×深：宽</x:v>
      </x:c>
      <x:c r="E145" s="21" t="n">
        <x:v>0.3699999999999999</x:v>
      </x:c>
      <x:c r="F145" s="23" t="n">
        <x:f>IF(COUNT(E145)=1,E145*1000,"")</x:f>
        <x:v>369.9999999999999</x:v>
      </x:c>
      <x:c r="G145" s="26"/>
      <x:c r="H145" s="13" t="str">
        <x:v>方案尺寸；口径见项目名称，实测待填</x:v>
      </x:c>
      <x:c r="I145" s="2"/>
      <x:c r="J145" s="2" t="str">
        <x:v>laundry-spec-v11.json</x:v>
      </x:c>
      <x:c r="K145" s="2" t="str">
        <x:v>/dimensions/tower_width_depth_m/0</x:v>
      </x:c>
      <x:c r="L145" s="2" t="n">
        <x:v>0.3699999999999999</x:v>
      </x:c>
    </x:row>
    <x:row r="146" ht="39" customHeight="1">
      <x:c r="A146" s="12" t="str">
        <x:v>L-tower</x:v>
      </x:c>
      <x:c r="B146" s="12" t="str">
        <x:v>卫生间A</x:v>
      </x:c>
      <x:c r="C146" s="12" t="str">
        <x:v>洗衣柜左侧白色窄高柜</x:v>
      </x:c>
      <x:c r="D146" s="14" t="str">
        <x:v>高柜宽×深：深</x:v>
      </x:c>
      <x:c r="E146" s="22" t="n">
        <x:v>0.45000000000000107</x:v>
      </x:c>
      <x:c r="F146" s="24" t="n">
        <x:f>IF(COUNT(E146)=1,E146*1000,"")</x:f>
        <x:v>450.0000000000011</x:v>
      </x:c>
      <x:c r="G146" s="26"/>
      <x:c r="H146" s="14" t="str">
        <x:v>方案尺寸；口径见项目名称，实测待填</x:v>
      </x:c>
      <x:c r="I146" s="2"/>
      <x:c r="J146" s="2" t="str">
        <x:v>laundry-spec-v11.json</x:v>
      </x:c>
      <x:c r="K146" s="2" t="str">
        <x:v>/dimensions/tower_width_depth_m/1</x:v>
      </x:c>
      <x:c r="L146" s="2" t="n">
        <x:v>0.45000000000000107</x:v>
      </x:c>
    </x:row>
    <x:row r="147" ht="39" customHeight="1">
      <x:c r="A147" s="2" t="str">
        <x:v>L-tower</x:v>
      </x:c>
      <x:c r="B147" s="2" t="str">
        <x:v>卫生间A</x:v>
      </x:c>
      <x:c r="C147" s="2" t="str">
        <x:v>洗衣柜左侧白色窄高柜</x:v>
      </x:c>
      <x:c r="D147" s="13" t="str">
        <x:v>高柜顶绝对Z</x:v>
      </x:c>
      <x:c r="E147" s="21" t="n">
        <x:v>2.3</x:v>
      </x:c>
      <x:c r="F147" s="23" t="n">
        <x:f>IF(COUNT(E147)=1,E147*1000,"")</x:f>
        <x:v>2300</x:v>
      </x:c>
      <x:c r="G147" s="26"/>
      <x:c r="H147" s="13" t="str">
        <x:v>方案尺寸；口径见项目名称，实测待填</x:v>
      </x:c>
      <x:c r="I147" s="2"/>
      <x:c r="J147" s="2" t="str">
        <x:v>laundry-spec-v11.json</x:v>
      </x:c>
      <x:c r="K147" s="2" t="str">
        <x:v>/dimensions/tower_top_absolute_m</x:v>
      </x:c>
      <x:c r="L147" s="2" t="n">
        <x:v>2.3</x:v>
      </x:c>
    </x:row>
    <x:row r="148" ht="84" customHeight="1">
      <x:c r="A148" s="12" t="str">
        <x:v>L-tower</x:v>
      </x:c>
      <x:c r="B148" s="12" t="str">
        <x:v>卫生间A</x:v>
      </x:c>
      <x:c r="C148" s="12" t="str">
        <x:v>洗衣柜左侧白色窄高柜</x:v>
      </x:c>
      <x:c r="D148" s="14" t="str">
        <x:v>柜体配置</x:v>
      </x:c>
      <x:c r="E148" s="22"/>
      <x:c r="F148" s="24" t="str">
        <x:f>IF(COUNT(E148)=1,E148*1000,"")</x:f>
      </x:c>
      <x:c r="G148" s="26"/>
      <x:c r="H148" s="14" t="str">
        <x:v>哑光白色，四扇上柜门、开放格、暖光、小横杆；南墙洗衣组与西侧原盆台形成高低L。</x:v>
      </x:c>
      <x:c r="I148" s="2"/>
      <x:c r="J148" s="2" t="str">
        <x:v>柜体与材料清单.json</x:v>
      </x:c>
      <x:c r="K148" s="2" t="str">
        <x:v>/cabinets/23/configuration</x:v>
      </x:c>
      <x:c r="L148" s="2" t="str">
        <x:v>哑光白色，四扇上柜门、开放格、暖光、小横杆；南墙洗衣组与西侧原盆台形成高低L。</x:v>
      </x:c>
    </x:row>
    <x:row r="149" ht="39" customHeight="1">
      <x:c r="A149" s="2" t="str">
        <x:v>L01-machine</x:v>
      </x:c>
      <x:c r="B149" s="2" t="str">
        <x:v>卫生间A</x:v>
      </x:c>
      <x:c r="C149" s="2" t="str">
        <x:v>单台三筒洗衣机开放背板包柜</x:v>
      </x:c>
      <x:c r="D149" s="13" t="str">
        <x:v>包柜外宽×深：宽</x:v>
      </x:c>
      <x:c r="E149" s="21" t="n">
        <x:v>0.7</x:v>
      </x:c>
      <x:c r="F149" s="23" t="n">
        <x:f>IF(COUNT(E149)=1,E149*1000,"")</x:f>
        <x:v>700</x:v>
      </x:c>
      <x:c r="G149" s="26"/>
      <x:c r="H149" s="13" t="str">
        <x:v>方案尺寸；口径见项目名称，实测待填</x:v>
      </x:c>
      <x:c r="I149" s="2"/>
      <x:c r="J149" s="2" t="str">
        <x:v>laundry-spec-v11.json</x:v>
      </x:c>
      <x:c r="K149" s="2" t="str">
        <x:v>/dimensions/machine_case_width_depth_m/0</x:v>
      </x:c>
      <x:c r="L149" s="2" t="n">
        <x:v>0.7</x:v>
      </x:c>
    </x:row>
    <x:row r="150" ht="39" customHeight="1">
      <x:c r="A150" s="12" t="str">
        <x:v>L01-machine</x:v>
      </x:c>
      <x:c r="B150" s="12" t="str">
        <x:v>卫生间A</x:v>
      </x:c>
      <x:c r="C150" s="12" t="str">
        <x:v>单台三筒洗衣机开放背板包柜</x:v>
      </x:c>
      <x:c r="D150" s="14" t="str">
        <x:v>包柜外宽×深：深</x:v>
      </x:c>
      <x:c r="E150" s="22" t="n">
        <x:v>0.7000000000000011</x:v>
      </x:c>
      <x:c r="F150" s="24" t="n">
        <x:f>IF(COUNT(E150)=1,E150*1000,"")</x:f>
        <x:v>700.000000000001</x:v>
      </x:c>
      <x:c r="G150" s="26"/>
      <x:c r="H150" s="14" t="str">
        <x:v>方案尺寸；口径见项目名称，实测待填</x:v>
      </x:c>
      <x:c r="I150" s="2"/>
      <x:c r="J150" s="2" t="str">
        <x:v>laundry-spec-v11.json</x:v>
      </x:c>
      <x:c r="K150" s="2" t="str">
        <x:v>/dimensions/machine_case_width_depth_m/1</x:v>
      </x:c>
      <x:c r="L150" s="2" t="n">
        <x:v>0.7000000000000011</x:v>
      </x:c>
    </x:row>
    <x:row r="151" ht="39" customHeight="1">
      <x:c r="A151" s="2" t="str">
        <x:v>L01-machine</x:v>
      </x:c>
      <x:c r="B151" s="2" t="str">
        <x:v>卫生间A</x:v>
      </x:c>
      <x:c r="C151" s="2" t="str">
        <x:v>单台三筒洗衣机开放背板包柜</x:v>
      </x:c>
      <x:c r="D151" s="13" t="str">
        <x:v>模型开口净宽</x:v>
      </x:c>
      <x:c r="E151" s="21" t="n">
        <x:v>0.6639999999999999</x:v>
      </x:c>
      <x:c r="F151" s="23" t="n">
        <x:f>IF(COUNT(E151)=1,E151*1000,"")</x:f>
        <x:v>663.9999999999999</x:v>
      </x:c>
      <x:c r="G151" s="26"/>
      <x:c r="H151" s="13" t="str">
        <x:v>方案尺寸；口径见项目名称，实测待填</x:v>
      </x:c>
      <x:c r="I151" s="2"/>
      <x:c r="J151" s="2" t="str">
        <x:v>laundry-spec-v11.json</x:v>
      </x:c>
      <x:c r="K151" s="2" t="str">
        <x:v>/dimensions/machine_opening_net_width_m</x:v>
      </x:c>
      <x:c r="L151" s="2" t="n">
        <x:v>0.6639999999999999</x:v>
      </x:c>
    </x:row>
    <x:row r="152" ht="39" customHeight="1">
      <x:c r="A152" s="12" t="str">
        <x:v>L01-machine</x:v>
      </x:c>
      <x:c r="B152" s="12" t="str">
        <x:v>卫生间A</x:v>
      </x:c>
      <x:c r="C152" s="12" t="str">
        <x:v>单台三筒洗衣机开放背板包柜</x:v>
      </x:c>
      <x:c r="D152" s="14" t="str">
        <x:v>模型开口净高</x:v>
      </x:c>
      <x:c r="E152" s="22" t="n">
        <x:v>1.1199999999999999</x:v>
      </x:c>
      <x:c r="F152" s="24" t="n">
        <x:f>IF(COUNT(E152)=1,E152*1000,"")</x:f>
        <x:v>1119.9999999999998</x:v>
      </x:c>
      <x:c r="G152" s="26"/>
      <x:c r="H152" s="14" t="str">
        <x:v>方案尺寸；口径见项目名称，实测待填</x:v>
      </x:c>
      <x:c r="I152" s="2"/>
      <x:c r="J152" s="2" t="str">
        <x:v>laundry-spec-v11.json</x:v>
      </x:c>
      <x:c r="K152" s="2" t="str">
        <x:v>/dimensions/machine_opening_net_height_m</x:v>
      </x:c>
      <x:c r="L152" s="2" t="n">
        <x:v>1.1199999999999999</x:v>
      </x:c>
    </x:row>
    <x:row r="153" ht="39" customHeight="1">
      <x:c r="A153" s="2" t="str">
        <x:v>L01-machine</x:v>
      </x:c>
      <x:c r="B153" s="2" t="str">
        <x:v>卫生间A</x:v>
      </x:c>
      <x:c r="C153" s="2" t="str">
        <x:v>单台三筒洗衣机开放背板包柜</x:v>
      </x:c>
      <x:c r="D153" s="13" t="str">
        <x:v>洗衣侧台面绝对Z</x:v>
      </x:c>
      <x:c r="E153" s="21" t="n">
        <x:v>1.15</x:v>
      </x:c>
      <x:c r="F153" s="23" t="n">
        <x:f>IF(COUNT(E153)=1,E153*1000,"")</x:f>
        <x:v>1150</x:v>
      </x:c>
      <x:c r="G153" s="26"/>
      <x:c r="H153" s="13" t="str">
        <x:v>方案尺寸；口径见项目名称，实测待填</x:v>
      </x:c>
      <x:c r="I153" s="2"/>
      <x:c r="J153" s="2" t="str">
        <x:v>laundry-spec-v11.json</x:v>
      </x:c>
      <x:c r="K153" s="2" t="str">
        <x:v>/dimensions/machine_counter_top_absolute_m</x:v>
      </x:c>
      <x:c r="L153" s="2" t="n">
        <x:v>1.15</x:v>
      </x:c>
    </x:row>
    <x:row r="154" ht="84" customHeight="1">
      <x:c r="A154" s="12" t="str">
        <x:v>L01-machine</x:v>
      </x:c>
      <x:c r="B154" s="12" t="str">
        <x:v>卫生间A</x:v>
      </x:c>
      <x:c r="C154" s="12" t="str">
        <x:v>单台三筒洗衣机开放背板包柜</x:v>
      </x:c>
      <x:c r="D154" s="14" t="str">
        <x:v>柜体配置</x:v>
      </x:c>
      <x:c r="E154" s="22"/>
      <x:c r="F154" s="24" t="str">
        <x:f>IF(COUNT(E154)=1,E154*1000,"")</x:f>
      </x:c>
      <x:c r="G154" s="26"/>
      <x:c r="H154" s="14" t="str">
        <x:v>哑光白色，四扇上柜门、开放格、暖光、小横杆；南墙洗衣组与西侧原盆台形成高低L。</x:v>
      </x:c>
      <x:c r="I154" s="2"/>
      <x:c r="J154" s="2" t="str">
        <x:v>柜体与材料清单.json</x:v>
      </x:c>
      <x:c r="K154" s="2" t="str">
        <x:v>/cabinets/24/configuration</x:v>
      </x:c>
      <x:c r="L154" s="2" t="str">
        <x:v>哑光白色，四扇上柜门、开放格、暖光、小横杆；南墙洗衣组与西侧原盆台形成高低L。</x:v>
      </x:c>
    </x:row>
    <x:row r="155" ht="39" customHeight="1">
      <x:c r="A155" s="2" t="str">
        <x:v>L-right</x:v>
      </x:c>
      <x:c r="B155" s="2" t="str">
        <x:v>卫生间A</x:v>
      </x:c>
      <x:c r="C155" s="2" t="str">
        <x:v>洗衣柜右侧白色储物柜</x:v>
      </x:c>
      <x:c r="D155" s="13" t="str">
        <x:v>右侧储物柜宽×深：宽</x:v>
      </x:c>
      <x:c r="E155" s="21" t="n">
        <x:v>0.6699999999999999</x:v>
      </x:c>
      <x:c r="F155" s="23" t="n">
        <x:f>IF(COUNT(E155)=1,E155*1000,"")</x:f>
        <x:v>669.9999999999999</x:v>
      </x:c>
      <x:c r="G155" s="26"/>
      <x:c r="H155" s="13" t="str">
        <x:v>方案尺寸；口径见项目名称，实测待填</x:v>
      </x:c>
      <x:c r="I155" s="2"/>
      <x:c r="J155" s="2" t="str">
        <x:v>laundry-spec-v11.json</x:v>
      </x:c>
      <x:c r="K155" s="2" t="str">
        <x:v>/dimensions/right_case_width_depth_m/0</x:v>
      </x:c>
      <x:c r="L155" s="2" t="n">
        <x:v>0.6699999999999999</x:v>
      </x:c>
    </x:row>
    <x:row r="156" ht="39" customHeight="1">
      <x:c r="A156" s="12" t="str">
        <x:v>L-right</x:v>
      </x:c>
      <x:c r="B156" s="12" t="str">
        <x:v>卫生间A</x:v>
      </x:c>
      <x:c r="C156" s="12" t="str">
        <x:v>洗衣柜右侧白色储物柜</x:v>
      </x:c>
      <x:c r="D156" s="14" t="str">
        <x:v>右侧储物柜宽×深：深</x:v>
      </x:c>
      <x:c r="E156" s="22" t="n">
        <x:v>0.45000000000000107</x:v>
      </x:c>
      <x:c r="F156" s="24" t="n">
        <x:f>IF(COUNT(E156)=1,E156*1000,"")</x:f>
        <x:v>450.0000000000011</x:v>
      </x:c>
      <x:c r="G156" s="26"/>
      <x:c r="H156" s="14" t="str">
        <x:v>方案尺寸；口径见项目名称，实测待填</x:v>
      </x:c>
      <x:c r="I156" s="2"/>
      <x:c r="J156" s="2" t="str">
        <x:v>laundry-spec-v11.json</x:v>
      </x:c>
      <x:c r="K156" s="2" t="str">
        <x:v>/dimensions/right_case_width_depth_m/1</x:v>
      </x:c>
      <x:c r="L156" s="2" t="n">
        <x:v>0.45000000000000107</x:v>
      </x:c>
    </x:row>
    <x:row r="157" ht="84" customHeight="1">
      <x:c r="A157" s="2" t="str">
        <x:v>L-right</x:v>
      </x:c>
      <x:c r="B157" s="2" t="str">
        <x:v>卫生间A</x:v>
      </x:c>
      <x:c r="C157" s="2" t="str">
        <x:v>洗衣柜右侧白色储物柜</x:v>
      </x:c>
      <x:c r="D157" s="13" t="str">
        <x:v>柜体配置</x:v>
      </x:c>
      <x:c r="E157" s="21"/>
      <x:c r="F157" s="23" t="str">
        <x:f>IF(COUNT(E157)=1,E157*1000,"")</x:f>
      </x:c>
      <x:c r="G157" s="26"/>
      <x:c r="H157" s="13" t="str">
        <x:v>哑光白色，四扇上柜门、开放格、暖光、小横杆；南墙洗衣组与西侧原盆台形成高低L。</x:v>
      </x:c>
      <x:c r="I157" s="2"/>
      <x:c r="J157" s="2" t="str">
        <x:v>柜体与材料清单.json</x:v>
      </x:c>
      <x:c r="K157" s="2" t="str">
        <x:v>/cabinets/25/configuration</x:v>
      </x:c>
      <x:c r="L157" s="2" t="str">
        <x:v>哑光白色，四扇上柜门、开放格、暖光、小横杆；南墙洗衣组与西侧原盆台形成高低L。</x:v>
      </x:c>
    </x:row>
    <x:row r="158" ht="39" customHeight="1">
      <x:c r="A158" s="12" t="str">
        <x:v>L-upper</x:v>
      </x:c>
      <x:c r="B158" s="12" t="str">
        <x:v>卫生间A</x:v>
      </x:c>
      <x:c r="C158" s="12" t="str">
        <x:v>洗衣区四扇白色吊柜、开放格及小横杆</x:v>
      </x:c>
      <x:c r="D158" s="14" t="str">
        <x:v>吊柜深度</x:v>
      </x:c>
      <x:c r="E158" s="22" t="n">
        <x:v>0.34999999999999964</x:v>
      </x:c>
      <x:c r="F158" s="24" t="n">
        <x:f>IF(COUNT(E158)=1,E158*1000,"")</x:f>
        <x:v>349.99999999999966</x:v>
      </x:c>
      <x:c r="G158" s="26"/>
      <x:c r="H158" s="14" t="str">
        <x:v>方案尺寸；口径见项目名称，实测待填</x:v>
      </x:c>
      <x:c r="I158" s="2"/>
      <x:c r="J158" s="2" t="str">
        <x:v>laundry-spec-v11.json</x:v>
      </x:c>
      <x:c r="K158" s="2" t="str">
        <x:v>/dimensions/upper_depth_m</x:v>
      </x:c>
      <x:c r="L158" s="2" t="n">
        <x:v>0.34999999999999964</x:v>
      </x:c>
    </x:row>
    <x:row r="159" ht="39" customHeight="1">
      <x:c r="A159" s="2" t="str">
        <x:v>L-upper</x:v>
      </x:c>
      <x:c r="B159" s="2" t="str">
        <x:v>卫生间A</x:v>
      </x:c>
      <x:c r="C159" s="2" t="str">
        <x:v>洗衣区四扇白色吊柜、开放格及小横杆</x:v>
      </x:c>
      <x:c r="D159" s="13" t="str">
        <x:v>吊柜底绝对Z</x:v>
      </x:c>
      <x:c r="E159" s="21" t="n">
        <x:v>1.7</x:v>
      </x:c>
      <x:c r="F159" s="23" t="n">
        <x:f>IF(COUNT(E159)=1,E159*1000,"")</x:f>
        <x:v>1700</x:v>
      </x:c>
      <x:c r="G159" s="26"/>
      <x:c r="H159" s="13" t="str">
        <x:v>方案尺寸；口径见项目名称，实测待填</x:v>
      </x:c>
      <x:c r="I159" s="2"/>
      <x:c r="J159" s="2" t="str">
        <x:v>laundry-spec-v11.json</x:v>
      </x:c>
      <x:c r="K159" s="2" t="str">
        <x:v>/dimensions/upper_bottom_absolute_m</x:v>
      </x:c>
      <x:c r="L159" s="2" t="n">
        <x:v>1.7</x:v>
      </x:c>
    </x:row>
    <x:row r="160" ht="39" customHeight="1">
      <x:c r="A160" s="12" t="str">
        <x:v>L-upper</x:v>
      </x:c>
      <x:c r="B160" s="12" t="str">
        <x:v>卫生间A</x:v>
      </x:c>
      <x:c r="C160" s="12" t="str">
        <x:v>洗衣区四扇白色吊柜、开放格及小横杆</x:v>
      </x:c>
      <x:c r="D160" s="14" t="str">
        <x:v>每扇吊柜门名义宽</x:v>
      </x:c>
      <x:c r="E160" s="22" t="n">
        <x:v>0.34249999999999997</x:v>
      </x:c>
      <x:c r="F160" s="24" t="n">
        <x:f>IF(COUNT(E160)=1,E160*1000,"")</x:f>
        <x:v>342.49999999999994</x:v>
      </x:c>
      <x:c r="G160" s="26"/>
      <x:c r="H160" s="14" t="str">
        <x:v>方案尺寸；口径见项目名称，实测待填</x:v>
      </x:c>
      <x:c r="I160" s="2"/>
      <x:c r="J160" s="2" t="str">
        <x:v>laundry-spec-v11.json</x:v>
      </x:c>
      <x:c r="K160" s="2" t="str">
        <x:v>/dimensions/upper_white_door_nominal_width_m</x:v>
      </x:c>
      <x:c r="L160" s="2" t="n">
        <x:v>0.34249999999999997</x:v>
      </x:c>
    </x:row>
    <x:row r="161" ht="39" customHeight="1">
      <x:c r="A161" s="2" t="str">
        <x:v>L-upper</x:v>
      </x:c>
      <x:c r="B161" s="2" t="str">
        <x:v>卫生间A</x:v>
      </x:c>
      <x:c r="C161" s="2" t="str">
        <x:v>洗衣区四扇白色吊柜、开放格及小横杆</x:v>
      </x:c>
      <x:c r="D161" s="13" t="str">
        <x:v>开放搁板顶绝对Z</x:v>
      </x:c>
      <x:c r="E161" s="21" t="n">
        <x:v>1.47</x:v>
      </x:c>
      <x:c r="F161" s="23" t="n">
        <x:f>IF(COUNT(E161)=1,E161*1000,"")</x:f>
        <x:v>1470</x:v>
      </x:c>
      <x:c r="G161" s="26"/>
      <x:c r="H161" s="13" t="str">
        <x:v>方案尺寸；口径见项目名称，实测待填</x:v>
      </x:c>
      <x:c r="I161" s="2"/>
      <x:c r="J161" s="2" t="str">
        <x:v>laundry-spec-v11.json</x:v>
      </x:c>
      <x:c r="K161" s="2" t="str">
        <x:v>/dimensions/open_shelf_top_absolute_m</x:v>
      </x:c>
      <x:c r="L161" s="2" t="n">
        <x:v>1.47</x:v>
      </x:c>
    </x:row>
    <x:row r="162" ht="84" customHeight="1">
      <x:c r="A162" s="12" t="str">
        <x:v>L-upper</x:v>
      </x:c>
      <x:c r="B162" s="12" t="str">
        <x:v>卫生间A</x:v>
      </x:c>
      <x:c r="C162" s="12" t="str">
        <x:v>洗衣区四扇白色吊柜、开放格及小横杆</x:v>
      </x:c>
      <x:c r="D162" s="14" t="str">
        <x:v>柜体配置</x:v>
      </x:c>
      <x:c r="E162" s="22"/>
      <x:c r="F162" s="24" t="str">
        <x:f>IF(COUNT(E162)=1,E162*1000,"")</x:f>
      </x:c>
      <x:c r="G162" s="26"/>
      <x:c r="H162" s="14" t="str">
        <x:v>哑光白色，四扇上柜门、开放格、暖光、小横杆；南墙洗衣组与西侧原盆台形成高低L。</x:v>
      </x:c>
      <x:c r="I162" s="2"/>
      <x:c r="J162" s="2" t="str">
        <x:v>柜体与材料清单.json</x:v>
      </x:c>
      <x:c r="K162" s="2" t="str">
        <x:v>/cabinets/26/configuration</x:v>
      </x:c>
      <x:c r="L162" s="2" t="str">
        <x:v>哑光白色，四扇上柜门、开放格、暖光、小横杆；南墙洗衣组与西侧原盆台形成高低L。</x:v>
      </x:c>
    </x:row>
    <x:row r="163" ht="39" customHeight="1">
      <x:c r="A163" s="2" t="str">
        <x:v>C10</x:v>
      </x:c>
      <x:c r="B163" s="2" t="str">
        <x:v>卫生间A</x:v>
      </x:c>
      <x:c r="C163" s="2" t="str">
        <x:v>卫生间A西侧白色盆柜</x:v>
      </x:c>
      <x:c r="D163" s="13" t="str">
        <x:v>台面宽×深：宽</x:v>
      </x:c>
      <x:c r="E163" s="21" t="n">
        <x:v>0.67</x:v>
      </x:c>
      <x:c r="F163" s="23" t="n">
        <x:f>IF(COUNT(E163)=1,E163*1000,"")</x:f>
        <x:v>670</x:v>
      </x:c>
      <x:c r="G163" s="26"/>
      <x:c r="H163" s="13" t="str">
        <x:v>方案尺寸；口径见项目名称，实测待填</x:v>
      </x:c>
      <x:c r="I163" s="2"/>
      <x:c r="J163" s="2" t="str">
        <x:v>wetrooms-kitchen-spec-v10.json</x:v>
      </x:c>
      <x:c r="K163" s="2" t="str">
        <x:v>/bathA/vanity_counter_wd_m/0</x:v>
      </x:c>
      <x:c r="L163" s="2" t="n">
        <x:v>0.67</x:v>
      </x:c>
    </x:row>
    <x:row r="164" ht="39" customHeight="1">
      <x:c r="A164" s="12" t="str">
        <x:v>C10</x:v>
      </x:c>
      <x:c r="B164" s="12" t="str">
        <x:v>卫生间A</x:v>
      </x:c>
      <x:c r="C164" s="12" t="str">
        <x:v>卫生间A西侧白色盆柜</x:v>
      </x:c>
      <x:c r="D164" s="14" t="str">
        <x:v>台面宽×深：深</x:v>
      </x:c>
      <x:c r="E164" s="22" t="n">
        <x:v>0.42</x:v>
      </x:c>
      <x:c r="F164" s="24" t="n">
        <x:f>IF(COUNT(E164)=1,E164*1000,"")</x:f>
        <x:v>420</x:v>
      </x:c>
      <x:c r="G164" s="26"/>
      <x:c r="H164" s="14" t="str">
        <x:v>方案尺寸；口径见项目名称，实测待填</x:v>
      </x:c>
      <x:c r="I164" s="2"/>
      <x:c r="J164" s="2" t="str">
        <x:v>wetrooms-kitchen-spec-v10.json</x:v>
      </x:c>
      <x:c r="K164" s="2" t="str">
        <x:v>/bathA/vanity_counter_wd_m/1</x:v>
      </x:c>
      <x:c r="L164" s="2" t="n">
        <x:v>0.42</x:v>
      </x:c>
    </x:row>
    <x:row r="165" ht="39" customHeight="1">
      <x:c r="A165" s="2" t="str">
        <x:v>C10</x:v>
      </x:c>
      <x:c r="B165" s="2" t="str">
        <x:v>卫生间A</x:v>
      </x:c>
      <x:c r="C165" s="2" t="str">
        <x:v>卫生间A西侧白色盆柜</x:v>
      </x:c>
      <x:c r="D165" s="13" t="str">
        <x:v>柜身宽×深：宽</x:v>
      </x:c>
      <x:c r="E165" s="21" t="n">
        <x:v>0.67</x:v>
      </x:c>
      <x:c r="F165" s="23" t="n">
        <x:f>IF(COUNT(E165)=1,E165*1000,"")</x:f>
        <x:v>670</x:v>
      </x:c>
      <x:c r="G165" s="26"/>
      <x:c r="H165" s="13" t="str">
        <x:v>方案尺寸；口径见项目名称，实测待填</x:v>
      </x:c>
      <x:c r="I165" s="2"/>
      <x:c r="J165" s="2" t="str">
        <x:v>wetrooms-kitchen-spec-v10.json</x:v>
      </x:c>
      <x:c r="K165" s="2" t="str">
        <x:v>/bathA/vanity_case_wd_m/0</x:v>
      </x:c>
      <x:c r="L165" s="2" t="n">
        <x:v>0.67</x:v>
      </x:c>
    </x:row>
    <x:row r="166" ht="39" customHeight="1">
      <x:c r="A166" s="12" t="str">
        <x:v>C10</x:v>
      </x:c>
      <x:c r="B166" s="12" t="str">
        <x:v>卫生间A</x:v>
      </x:c>
      <x:c r="C166" s="12" t="str">
        <x:v>卫生间A西侧白色盆柜</x:v>
      </x:c>
      <x:c r="D166" s="14" t="str">
        <x:v>柜身宽×深：深</x:v>
      </x:c>
      <x:c r="E166" s="22" t="n">
        <x:v>0.4</x:v>
      </x:c>
      <x:c r="F166" s="24" t="n">
        <x:f>IF(COUNT(E166)=1,E166*1000,"")</x:f>
        <x:v>400</x:v>
      </x:c>
      <x:c r="G166" s="26"/>
      <x:c r="H166" s="14" t="str">
        <x:v>方案尺寸；口径见项目名称，实测待填</x:v>
      </x:c>
      <x:c r="I166" s="2"/>
      <x:c r="J166" s="2" t="str">
        <x:v>wetrooms-kitchen-spec-v10.json</x:v>
      </x:c>
      <x:c r="K166" s="2" t="str">
        <x:v>/bathA/vanity_case_wd_m/1</x:v>
      </x:c>
      <x:c r="L166" s="2" t="n">
        <x:v>0.4</x:v>
      </x:c>
    </x:row>
    <x:row r="167" ht="39" customHeight="1">
      <x:c r="A167" s="2" t="str">
        <x:v>C10</x:v>
      </x:c>
      <x:c r="B167" s="2" t="str">
        <x:v>卫生间A</x:v>
      </x:c>
      <x:c r="C167" s="2" t="str">
        <x:v>卫生间A西侧白色盆柜</x:v>
      </x:c>
      <x:c r="D167" s="13" t="str">
        <x:v>盆柜台面顶绝对Z</x:v>
      </x:c>
      <x:c r="E167" s="21" t="n">
        <x:v>0.805</x:v>
      </x:c>
      <x:c r="F167" s="23" t="n">
        <x:f>IF(COUNT(E167)=1,E167*1000,"")</x:f>
        <x:v>805</x:v>
      </x:c>
      <x:c r="G167" s="26"/>
      <x:c r="H167" s="13" t="str">
        <x:v>方案尺寸；口径见项目名称，实测待填</x:v>
      </x:c>
      <x:c r="I167" s="2"/>
      <x:c r="J167" s="2" t="str">
        <x:v>wetrooms-kitchen-spec-v10.json</x:v>
      </x:c>
      <x:c r="K167" s="2" t="str">
        <x:v>/bathA/vanity_counter_top_absolute_m</x:v>
      </x:c>
      <x:c r="L167" s="2" t="n">
        <x:v>0.805</x:v>
      </x:c>
    </x:row>
    <x:row r="168" ht="84" customHeight="1">
      <x:c r="A168" s="12" t="str">
        <x:v>C10</x:v>
      </x:c>
      <x:c r="B168" s="12" t="str">
        <x:v>卫生间A</x:v>
      </x:c>
      <x:c r="C168" s="12" t="str">
        <x:v>卫生间A西侧白色盆柜</x:v>
      </x:c>
      <x:c r="D168" s="14" t="str">
        <x:v>柜体配置</x:v>
      </x:c>
      <x:c r="E168" s="22"/>
      <x:c r="F168" s="24" t="str">
        <x:f>IF(COUNT(E168)=1,E168*1000,"")</x:f>
      </x:c>
      <x:c r="G168" s="26"/>
      <x:c r="H168" s="14" t="str">
        <x:v>白色盆柜；洗漱盆自购或定制，产品和柜盆接口未选。</x:v>
      </x:c>
      <x:c r="I168" s="2"/>
      <x:c r="J168" s="2" t="str">
        <x:v>柜体与材料清单.json</x:v>
      </x:c>
      <x:c r="K168" s="2" t="str">
        <x:v>/cabinets/27/configuration</x:v>
      </x:c>
      <x:c r="L168" s="2" t="str">
        <x:v>白色盆柜；洗漱盆自购或定制，产品和柜盆接口未选。</x:v>
      </x:c>
    </x:row>
    <x:row r="169" ht="39" customHeight="1">
      <x:c r="A169" s="2" t="str">
        <x:v>C11</x:v>
      </x:c>
      <x:c r="B169" s="2" t="str">
        <x:v>卫生间A</x:v>
      </x:c>
      <x:c r="C169" s="2" t="str">
        <x:v>卫生间A西侧白框镜柜</x:v>
      </x:c>
      <x:c r="D169" s="13" t="str">
        <x:v>镜柜名义宽度</x:v>
      </x:c>
      <x:c r="E169" s="21" t="n">
        <x:v>0.64</x:v>
      </x:c>
      <x:c r="F169" s="23" t="n">
        <x:f>IF(COUNT(E169)=1,E169*1000,"")</x:f>
        <x:v>640</x:v>
      </x:c>
      <x:c r="G169" s="26"/>
      <x:c r="H169" s="13" t="str">
        <x:v>方案尺寸；口径见项目名称，实测待填</x:v>
      </x:c>
      <x:c r="I169" s="2"/>
      <x:c r="J169" s="2" t="str">
        <x:v>wetrooms-kitchen-spec-v10.json</x:v>
      </x:c>
      <x:c r="K169" s="2" t="str">
        <x:v>/bathA/mirror_width_m</x:v>
      </x:c>
      <x:c r="L169" s="2" t="n">
        <x:v>0.64</x:v>
      </x:c>
    </x:row>
    <x:row r="170" ht="39" customHeight="1">
      <x:c r="A170" s="12" t="str">
        <x:v>C11</x:v>
      </x:c>
      <x:c r="B170" s="12" t="str">
        <x:v>卫生间A</x:v>
      </x:c>
      <x:c r="C170" s="12" t="str">
        <x:v>卫生间A西侧白框镜柜</x:v>
      </x:c>
      <x:c r="D170" s="14" t="str">
        <x:v>三轴模型包络；不是柜体净尺寸</x:v>
      </x:c>
      <x:c r="E170" s="22" t="str">
        <x:v>见原引用值</x:v>
      </x:c>
      <x:c r="F170" s="24" t="str">
        <x:f>IF(COUNT(E170)=1,E170*1000,"")</x:f>
      </x:c>
      <x:c r="G170" s="26"/>
      <x:c r="H170" s="14" t="str">
        <x:v>三轴包络仅作位置证据，不能当净尺寸或开料量</x:v>
      </x:c>
      <x:c r="I170" s="2"/>
      <x:c r="J170" s="2" t="str">
        <x:v>wetrooms-kitchen-spec-v10.json</x:v>
      </x:c>
      <x:c r="K170" s="2" t="str">
        <x:v>/module_bounds_m/C11</x:v>
      </x:c>
      <x:c r="L170" s="2" t="str">
        <x:v>[[1.5299999713897705,1.6549999713897705],[9.425000190734863,10.0649995803833],[1.1200000047683716,1.840000033378601]]</x:v>
      </x:c>
    </x:row>
    <x:row r="171" ht="84" customHeight="1">
      <x:c r="A171" s="2" t="str">
        <x:v>C11</x:v>
      </x:c>
      <x:c r="B171" s="2" t="str">
        <x:v>卫生间A</x:v>
      </x:c>
      <x:c r="C171" s="2" t="str">
        <x:v>卫生间A西侧白框镜柜</x:v>
      </x:c>
      <x:c r="D171" s="13" t="str">
        <x:v>柜体配置</x:v>
      </x:c>
      <x:c r="E171" s="21"/>
      <x:c r="F171" s="23" t="str">
        <x:f>IF(COUNT(E171)=1,E171*1000,"")</x:f>
      </x:c>
      <x:c r="G171" s="26"/>
      <x:c r="H171" s="13" t="str">
        <x:v>白框镜面柜门、内部储物层板。</x:v>
      </x:c>
      <x:c r="I171" s="2"/>
      <x:c r="J171" s="2" t="str">
        <x:v>柜体与材料清单.json</x:v>
      </x:c>
      <x:c r="K171" s="2" t="str">
        <x:v>/cabinets/28/configuration</x:v>
      </x:c>
      <x:c r="L171" s="2" t="str">
        <x:v>白框镜面柜门、内部储物层板。</x:v>
      </x:c>
    </x:row>
    <x:row r="172" ht="39" customHeight="1">
      <x:c r="A172" s="12" t="str">
        <x:v>C14</x:v>
      </x:c>
      <x:c r="B172" s="12" t="str">
        <x:v>卫生间B</x:v>
      </x:c>
      <x:c r="C172" s="12" t="str">
        <x:v>卫生间B东侧白色盆柜</x:v>
      </x:c>
      <x:c r="D172" s="14" t="str">
        <x:v>台面宽×深：宽</x:v>
      </x:c>
      <x:c r="E172" s="22" t="n">
        <x:v>0.76</x:v>
      </x:c>
      <x:c r="F172" s="24" t="n">
        <x:f>IF(COUNT(E172)=1,E172*1000,"")</x:f>
        <x:v>760</x:v>
      </x:c>
      <x:c r="G172" s="26"/>
      <x:c r="H172" s="14" t="str">
        <x:v>方案尺寸；口径见项目名称，实测待填</x:v>
      </x:c>
      <x:c r="I172" s="2"/>
      <x:c r="J172" s="2" t="str">
        <x:v>wetrooms-kitchen-spec-v10.json</x:v>
      </x:c>
      <x:c r="K172" s="2" t="str">
        <x:v>/bathB/vanity_counter_wd_m/0</x:v>
      </x:c>
      <x:c r="L172" s="2" t="n">
        <x:v>0.76</x:v>
      </x:c>
    </x:row>
    <x:row r="173" ht="39" customHeight="1">
      <x:c r="A173" s="2" t="str">
        <x:v>C14</x:v>
      </x:c>
      <x:c r="B173" s="2" t="str">
        <x:v>卫生间B</x:v>
      </x:c>
      <x:c r="C173" s="2" t="str">
        <x:v>卫生间B东侧白色盆柜</x:v>
      </x:c>
      <x:c r="D173" s="13" t="str">
        <x:v>台面宽×深：深</x:v>
      </x:c>
      <x:c r="E173" s="21" t="n">
        <x:v>0.5</x:v>
      </x:c>
      <x:c r="F173" s="23" t="n">
        <x:f>IF(COUNT(E173)=1,E173*1000,"")</x:f>
        <x:v>500</x:v>
      </x:c>
      <x:c r="G173" s="26"/>
      <x:c r="H173" s="13" t="str">
        <x:v>方案尺寸；口径见项目名称，实测待填</x:v>
      </x:c>
      <x:c r="I173" s="2"/>
      <x:c r="J173" s="2" t="str">
        <x:v>wetrooms-kitchen-spec-v10.json</x:v>
      </x:c>
      <x:c r="K173" s="2" t="str">
        <x:v>/bathB/vanity_counter_wd_m/1</x:v>
      </x:c>
      <x:c r="L173" s="2" t="n">
        <x:v>0.5</x:v>
      </x:c>
    </x:row>
    <x:row r="174" ht="39" customHeight="1">
      <x:c r="A174" s="12" t="str">
        <x:v>C14</x:v>
      </x:c>
      <x:c r="B174" s="12" t="str">
        <x:v>卫生间B</x:v>
      </x:c>
      <x:c r="C174" s="12" t="str">
        <x:v>卫生间B东侧白色盆柜</x:v>
      </x:c>
      <x:c r="D174" s="14" t="str">
        <x:v>柜身宽×深：宽</x:v>
      </x:c>
      <x:c r="E174" s="22" t="n">
        <x:v>0.76</x:v>
      </x:c>
      <x:c r="F174" s="24" t="n">
        <x:f>IF(COUNT(E174)=1,E174*1000,"")</x:f>
        <x:v>760</x:v>
      </x:c>
      <x:c r="G174" s="26"/>
      <x:c r="H174" s="14" t="str">
        <x:v>方案尺寸；口径见项目名称，实测待填</x:v>
      </x:c>
      <x:c r="I174" s="2"/>
      <x:c r="J174" s="2" t="str">
        <x:v>wetrooms-kitchen-spec-v10.json</x:v>
      </x:c>
      <x:c r="K174" s="2" t="str">
        <x:v>/bathB/vanity_case_wd_m/0</x:v>
      </x:c>
      <x:c r="L174" s="2" t="n">
        <x:v>0.76</x:v>
      </x:c>
    </x:row>
    <x:row r="175" ht="39" customHeight="1">
      <x:c r="A175" s="2" t="str">
        <x:v>C14</x:v>
      </x:c>
      <x:c r="B175" s="2" t="str">
        <x:v>卫生间B</x:v>
      </x:c>
      <x:c r="C175" s="2" t="str">
        <x:v>卫生间B东侧白色盆柜</x:v>
      </x:c>
      <x:c r="D175" s="13" t="str">
        <x:v>柜身宽×深：深</x:v>
      </x:c>
      <x:c r="E175" s="21" t="n">
        <x:v>0.48</x:v>
      </x:c>
      <x:c r="F175" s="23" t="n">
        <x:f>IF(COUNT(E175)=1,E175*1000,"")</x:f>
        <x:v>480</x:v>
      </x:c>
      <x:c r="G175" s="26"/>
      <x:c r="H175" s="13" t="str">
        <x:v>方案尺寸；口径见项目名称，实测待填</x:v>
      </x:c>
      <x:c r="I175" s="2"/>
      <x:c r="J175" s="2" t="str">
        <x:v>wetrooms-kitchen-spec-v10.json</x:v>
      </x:c>
      <x:c r="K175" s="2" t="str">
        <x:v>/bathB/vanity_case_wd_m/1</x:v>
      </x:c>
      <x:c r="L175" s="2" t="n">
        <x:v>0.48</x:v>
      </x:c>
    </x:row>
    <x:row r="176" ht="39" customHeight="1">
      <x:c r="A176" s="12" t="str">
        <x:v>C14</x:v>
      </x:c>
      <x:c r="B176" s="12" t="str">
        <x:v>卫生间B</x:v>
      </x:c>
      <x:c r="C176" s="12" t="str">
        <x:v>卫生间B东侧白色盆柜</x:v>
      </x:c>
      <x:c r="D176" s="14" t="str">
        <x:v>盆柜台面顶绝对Z</x:v>
      </x:c>
      <x:c r="E176" s="22" t="n">
        <x:v>0.805</x:v>
      </x:c>
      <x:c r="F176" s="24" t="n">
        <x:f>IF(COUNT(E176)=1,E176*1000,"")</x:f>
        <x:v>805</x:v>
      </x:c>
      <x:c r="G176" s="26"/>
      <x:c r="H176" s="14" t="str">
        <x:v>方案尺寸；口径见项目名称，实测待填</x:v>
      </x:c>
      <x:c r="I176" s="2"/>
      <x:c r="J176" s="2" t="str">
        <x:v>wetrooms-kitchen-spec-v10.json</x:v>
      </x:c>
      <x:c r="K176" s="2" t="str">
        <x:v>/bathB/vanity_counter_top_absolute_m</x:v>
      </x:c>
      <x:c r="L176" s="2" t="n">
        <x:v>0.805</x:v>
      </x:c>
    </x:row>
    <x:row r="177" ht="84" customHeight="1">
      <x:c r="A177" s="2" t="str">
        <x:v>C14</x:v>
      </x:c>
      <x:c r="B177" s="2" t="str">
        <x:v>卫生间B</x:v>
      </x:c>
      <x:c r="C177" s="2" t="str">
        <x:v>卫生间B东侧白色盆柜</x:v>
      </x:c>
      <x:c r="D177" s="13" t="str">
        <x:v>柜体配置</x:v>
      </x:c>
      <x:c r="E177" s="21"/>
      <x:c r="F177" s="23" t="str">
        <x:f>IF(COUNT(E177)=1,E177*1000,"")</x:f>
      </x:c>
      <x:c r="G177" s="26"/>
      <x:c r="H177" s="13" t="str">
        <x:v>白色盆柜；洗漱盆自购或定制，产品和柜盆接口未选。</x:v>
      </x:c>
      <x:c r="I177" s="2"/>
      <x:c r="J177" s="2" t="str">
        <x:v>柜体与材料清单.json</x:v>
      </x:c>
      <x:c r="K177" s="2" t="str">
        <x:v>/cabinets/29/configuration</x:v>
      </x:c>
      <x:c r="L177" s="2" t="str">
        <x:v>白色盆柜；洗漱盆自购或定制，产品和柜盆接口未选。</x:v>
      </x:c>
    </x:row>
    <x:row r="178" ht="39" customHeight="1">
      <x:c r="A178" s="12" t="str">
        <x:v>C15</x:v>
      </x:c>
      <x:c r="B178" s="12" t="str">
        <x:v>卫生间B</x:v>
      </x:c>
      <x:c r="C178" s="12" t="str">
        <x:v>卫生间B东侧白框镜柜</x:v>
      </x:c>
      <x:c r="D178" s="14" t="str">
        <x:v>镜柜名义宽度</x:v>
      </x:c>
      <x:c r="E178" s="22" t="n">
        <x:v>0.7</x:v>
      </x:c>
      <x:c r="F178" s="24" t="n">
        <x:f>IF(COUNT(E178)=1,E178*1000,"")</x:f>
        <x:v>700</x:v>
      </x:c>
      <x:c r="G178" s="26"/>
      <x:c r="H178" s="14" t="str">
        <x:v>方案尺寸；口径见项目名称，实测待填</x:v>
      </x:c>
      <x:c r="I178" s="2"/>
      <x:c r="J178" s="2" t="str">
        <x:v>wetrooms-kitchen-spec-v10.json</x:v>
      </x:c>
      <x:c r="K178" s="2" t="str">
        <x:v>/bathB/mirror_width_m</x:v>
      </x:c>
      <x:c r="L178" s="2" t="n">
        <x:v>0.7</x:v>
      </x:c>
    </x:row>
    <x:row r="179" ht="39" customHeight="1">
      <x:c r="A179" s="2" t="str">
        <x:v>C15</x:v>
      </x:c>
      <x:c r="B179" s="2" t="str">
        <x:v>卫生间B</x:v>
      </x:c>
      <x:c r="C179" s="2" t="str">
        <x:v>卫生间B东侧白框镜柜</x:v>
      </x:c>
      <x:c r="D179" s="13" t="str">
        <x:v>三轴模型包络；不是柜体净尺寸</x:v>
      </x:c>
      <x:c r="E179" s="21" t="str">
        <x:v>见原引用值</x:v>
      </x:c>
      <x:c r="F179" s="23" t="str">
        <x:f>IF(COUNT(E179)=1,E179*1000,"")</x:f>
      </x:c>
      <x:c r="G179" s="26"/>
      <x:c r="H179" s="13" t="str">
        <x:v>三轴包络仅作位置证据，不能当净尺寸或开料量</x:v>
      </x:c>
      <x:c r="I179" s="2"/>
      <x:c r="J179" s="2" t="str">
        <x:v>wetrooms-kitchen-spec-v10.json</x:v>
      </x:c>
      <x:c r="K179" s="2" t="str">
        <x:v>/module_bounds_m/C15</x:v>
      </x:c>
      <x:c r="L179" s="2" t="str">
        <x:v>[[10.545000076293945,10.670000076293945],[6.830000400543213,7.529999732971191],[1.1200000047683716,1.840000033378601]]</x:v>
      </x:c>
    </x:row>
    <x:row r="180" ht="84" customHeight="1">
      <x:c r="A180" s="12" t="str">
        <x:v>C15</x:v>
      </x:c>
      <x:c r="B180" s="12" t="str">
        <x:v>卫生间B</x:v>
      </x:c>
      <x:c r="C180" s="12" t="str">
        <x:v>卫生间B东侧白框镜柜</x:v>
      </x:c>
      <x:c r="D180" s="14" t="str">
        <x:v>柜体配置</x:v>
      </x:c>
      <x:c r="E180" s="22"/>
      <x:c r="F180" s="24" t="str">
        <x:f>IF(COUNT(E180)=1,E180*1000,"")</x:f>
      </x:c>
      <x:c r="G180" s="26"/>
      <x:c r="H180" s="14" t="str">
        <x:v>白框镜面柜门、内部储物层板。</x:v>
      </x:c>
      <x:c r="I180" s="2"/>
      <x:c r="J180" s="2" t="str">
        <x:v>柜体与材料清单.json</x:v>
      </x:c>
      <x:c r="K180" s="2" t="str">
        <x:v>/cabinets/30/configuration</x:v>
      </x:c>
      <x:c r="L180" s="2" t="str">
        <x:v>白框镜面柜门、内部储物层板。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75449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1.8799991607666" hidden="0" customWidth="1"/>
    <x:col min="2" max="2" width="14.380000114440918" hidden="0" customWidth="1"/>
    <x:col min="3" max="3" width="21.8799991607666" hidden="0" customWidth="1"/>
    <x:col min="4" max="4" width="28.75" hidden="0" customWidth="1"/>
    <x:col min="5" max="5" width="13.75" hidden="0" customWidth="1"/>
    <x:col min="6" max="6" width="10.630000114440918" hidden="0" customWidth="1"/>
    <x:col min="7" max="7" width="10.630000114440918" hidden="0" customWidth="1"/>
    <x:col min="8" max="8" width="10.630000114440918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67.5" hidden="0" customWidth="1"/>
    <x:col min="13" max="13" width="2.75" hidden="0" customWidth="1"/>
    <x:col min="14" max="14" width="112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4" customHeight="1">
      <x:c r="A2" s="4" t="str">
        <x:v>设备与复核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7" customHeight="1">
      <x:c r="A3" s="2" t="str">
        <x:v>以下为模型设备清单。冰箱仅宽900mm由用户确认；洗衣机为单台三筒，非叠放洗烘。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7" customHeight="1">
      <x:c r="A4" s="2" t="str">
        <x:v>原规格宽深高中，洗衣机为机身、电脑为组合占位。安装开孔、散热及检修尺寸须按产品说明核。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7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8" customHeight="1">
      <x:c r="A6" s="11" t="str">
        <x:v>编号</x:v>
      </x:c>
      <x:c r="B6" s="11" t="str">
        <x:v>房间</x:v>
      </x:c>
      <x:c r="C6" s="11" t="str">
        <x:v>设备</x:v>
      </x:c>
      <x:c r="D6" s="11" t="str">
        <x:v>已有型号证据</x:v>
      </x:c>
      <x:c r="E6" s="11" t="str">
        <x:v>已有品牌证据</x:v>
      </x:c>
      <x:c r="F6" s="11" t="str">
        <x:v>原规格宽m</x:v>
      </x:c>
      <x:c r="G6" s="11" t="str">
        <x:v>原规格深m</x:v>
      </x:c>
      <x:c r="H6" s="11" t="str">
        <x:v>原规格高m</x:v>
      </x:c>
      <x:c r="I6" s="11" t="str">
        <x:v>实购宽mm</x:v>
      </x:c>
      <x:c r="J6" s="11" t="str">
        <x:v>实购深mm</x:v>
      </x:c>
      <x:c r="K6" s="11" t="str">
        <x:v>实购高mm</x:v>
      </x:c>
      <x:c r="L6" s="11" t="str">
        <x:v>安装与选型待核</x:v>
      </x:c>
      <x:c r="M6" s="2"/>
      <x:c r="N6" s="2" t="str">
        <x:v>来源文件/JSON定位</x:v>
      </x:c>
    </x:row>
    <x:row r="7" ht="83" customHeight="1">
      <x:c r="A7" s="2" t="str">
        <x:v>AP01</x:v>
      </x:c>
      <x:c r="B7" s="2" t="str">
        <x:v>餐厅</x:v>
      </x:c>
      <x:c r="C7" s="13" t="str">
        <x:v>左右对开门冰箱</x:v>
      </x:c>
      <x:c r="D7" s="13"/>
      <x:c r="E7" s="2"/>
      <x:c r="F7" s="21" t="n">
        <x:v>0.9</x:v>
      </x:c>
      <x:c r="G7" s="21" t="n">
        <x:v>0.698</x:v>
      </x:c>
      <x:c r="H7" s="21" t="n">
        <x:v>1.775</x:v>
      </x:c>
      <x:c r="I7" s="27"/>
      <x:c r="J7" s="27"/>
      <x:c r="K7" s="27"/>
      <x:c r="L7" s="13" t="str">
        <x:v>按最新用户要求移至东墙C12，左右双门示意；用户确认宽900mm，深698/高1775mm仅沿用官方示例提案而非用户选款，型号/散热/开启净空未核，原位置无第二台冰箱。</x:v>
      </x:c>
      <x:c r="M7" s="2"/>
      <x:c r="N7" s="2" t="str">
        <x:v>appliance-schedule.json /equipment/0/proposal_size_m；appliance-schedule.json /equipment/0/actual_dimensions_m；appliance-schedule.json /equipment/0/actual_model；appliance-schedule.json /equipment/0/brand；appliance-schedule.json /equipment/0/status；appliance-schedule.json /equipment/0/notes</x:v>
      </x:c>
    </x:row>
    <x:row r="8" ht="83" customHeight="1">
      <x:c r="A8" s="12" t="str">
        <x:v>AP02</x:v>
      </x:c>
      <x:c r="B8" s="12" t="str">
        <x:v>厨房</x:v>
      </x:c>
      <x:c r="C8" s="14" t="str">
        <x:v>嵌入式灶具</x:v>
      </x:c>
      <x:c r="D8" s="14"/>
      <x:c r="E8" s="12"/>
      <x:c r="F8" s="22" t="n">
        <x:v>0.58</x:v>
      </x:c>
      <x:c r="G8" s="22" t="n">
        <x:v>0.46</x:v>
      </x:c>
      <x:c r="H8" s="22" t="n">
        <x:v>0.06</x:v>
      </x:c>
      <x:c r="I8" s="27"/>
      <x:c r="J8" s="27"/>
      <x:c r="K8" s="27"/>
      <x:c r="L8" s="14" t="str">
        <x:v>嵌入原西侧台面；能源种类、开孔和烟机距离需随实际产品确认。</x:v>
      </x:c>
      <x:c r="M8" s="2"/>
      <x:c r="N8" s="2" t="str">
        <x:v>appliance-schedule.json /equipment/1/proposal_size_m；appliance-schedule.json /equipment/1/actual_dimensions_m；appliance-schedule.json /equipment/1/actual_model；appliance-schedule.json /equipment/1/brand；appliance-schedule.json /equipment/1/status；appliance-schedule.json /equipment/1/notes</x:v>
      </x:c>
    </x:row>
    <x:row r="9" ht="83" customHeight="1">
      <x:c r="A9" s="2" t="str">
        <x:v>AP03</x:v>
      </x:c>
      <x:c r="B9" s="2" t="str">
        <x:v>厨房</x:v>
      </x:c>
      <x:c r="C9" s="13" t="str">
        <x:v>吸油烟机</x:v>
      </x:c>
      <x:c r="D9" s="13"/>
      <x:c r="E9" s="2"/>
      <x:c r="F9" s="21" t="n">
        <x:v>0.68</x:v>
      </x:c>
      <x:c r="G9" s="21" t="n">
        <x:v>0.47</x:v>
      </x:c>
      <x:c r="H9" s="21" t="n">
        <x:v>1.03</x:v>
      </x:c>
      <x:c r="I9" s="27"/>
      <x:c r="J9" s="27"/>
      <x:c r="K9" s="27"/>
      <x:c r="L9" s="13" t="str">
        <x:v>替换原烟机并沿用其排烟占位；示意机身，排烟路径和产品安装距离未核实。</x:v>
      </x:c>
      <x:c r="M9" s="2"/>
      <x:c r="N9" s="2" t="str">
        <x:v>appliance-schedule.json /equipment/2/proposal_size_m；appliance-schedule.json /equipment/2/actual_dimensions_m；appliance-schedule.json /equipment/2/actual_model；appliance-schedule.json /equipment/2/brand；appliance-schedule.json /equipment/2/status；appliance-schedule.json /equipment/2/notes</x:v>
      </x:c>
    </x:row>
    <x:row r="10" ht="83" customHeight="1">
      <x:c r="A10" s="12" t="str">
        <x:v>AP04</x:v>
      </x:c>
      <x:c r="B10" s="12" t="str">
        <x:v>厨房</x:v>
      </x:c>
      <x:c r="C10" s="14" t="str">
        <x:v>嵌入式洗碗机</x:v>
      </x:c>
      <x:c r="D10" s="14"/>
      <x:c r="E10" s="12"/>
      <x:c r="F10" s="22" t="n">
        <x:v>0.56</x:v>
      </x:c>
      <x:c r="G10" s="22" t="n">
        <x:v>0.56</x:v>
      </x:c>
      <x:c r="H10" s="22" t="n">
        <x:v>0.72</x:v>
      </x:c>
      <x:c r="I10" s="27"/>
      <x:c r="J10" s="27"/>
      <x:c r="K10" s="27"/>
      <x:c r="L10" s="14" t="str">
        <x:v>替换北侧地柜第4扇门，柜内示意机身；橱柜模块约572mm，实际产品适配、上下水待核。</x:v>
      </x:c>
      <x:c r="M10" s="2"/>
      <x:c r="N10" s="2" t="str">
        <x:v>appliance-schedule.json /equipment/3/proposal_size_m；appliance-schedule.json /equipment/3/actual_dimensions_m；appliance-schedule.json /equipment/3/actual_model；appliance-schedule.json /equipment/3/brand；appliance-schedule.json /equipment/3/status；appliance-schedule.json /equipment/3/notes</x:v>
      </x:c>
    </x:row>
    <x:row r="11" ht="83" customHeight="1">
      <x:c r="A11" s="2" t="str">
        <x:v>AP05</x:v>
      </x:c>
      <x:c r="B11" s="2" t="str">
        <x:v>厨房</x:v>
      </x:c>
      <x:c r="C11" s="13" t="str">
        <x:v>台式微烤组合</x:v>
      </x:c>
      <x:c r="D11" s="13"/>
      <x:c r="E11" s="2"/>
      <x:c r="F11" s="21" t="n">
        <x:v>0.48</x:v>
      </x:c>
      <x:c r="G11" s="21" t="n">
        <x:v>0.39</x:v>
      </x:c>
      <x:c r="H11" s="21" t="n">
        <x:v>0.29</x:v>
      </x:c>
      <x:c r="I11" s="27"/>
      <x:c r="J11" s="27"/>
      <x:c r="K11" s="27"/>
      <x:c r="L11" s="13" t="str">
        <x:v>紧凑台式微烤组合示意，置于左侧窗下台面；实际功能、型号、散热间隙待用户选型。</x:v>
      </x:c>
      <x:c r="M11" s="2"/>
      <x:c r="N11" s="2" t="str">
        <x:v>appliance-schedule.json /equipment/4/proposal_size_m；appliance-schedule.json /equipment/4/actual_dimensions_m；appliance-schedule.json /equipment/4/actual_model；appliance-schedule.json /equipment/4/brand；appliance-schedule.json /equipment/4/status；appliance-schedule.json /equipment/4/notes</x:v>
      </x:c>
    </x:row>
    <x:row r="12" ht="83" customHeight="1">
      <x:c r="A12" s="12" t="str">
        <x:v>AP06</x:v>
      </x:c>
      <x:c r="B12" s="12" t="str">
        <x:v>厨房</x:v>
      </x:c>
      <x:c r="C12" s="14" t="str">
        <x:v>电饭煲</x:v>
      </x:c>
      <x:c r="D12" s="14"/>
      <x:c r="E12" s="12"/>
      <x:c r="F12" s="22" t="n">
        <x:v>0.29</x:v>
      </x:c>
      <x:c r="G12" s="22" t="n">
        <x:v>0.33</x:v>
      </x:c>
      <x:c r="H12" s="22" t="n">
        <x:v>0.29</x:v>
      </x:c>
      <x:c r="I12" s="27"/>
      <x:c r="J12" s="27"/>
      <x:c r="K12" s="27"/>
      <x:c r="L12" s="14" t="str">
        <x:v>右侧台面小家电示意，不替代具体产品选型。</x:v>
      </x:c>
      <x:c r="M12" s="2"/>
      <x:c r="N12" s="2" t="str">
        <x:v>appliance-schedule.json /equipment/5/proposal_size_m；appliance-schedule.json /equipment/5/actual_dimensions_m；appliance-schedule.json /equipment/5/actual_model；appliance-schedule.json /equipment/5/brand；appliance-schedule.json /equipment/5/status；appliance-schedule.json /equipment/5/notes</x:v>
      </x:c>
    </x:row>
    <x:row r="13" ht="83" customHeight="1">
      <x:c r="A13" s="2" t="str">
        <x:v>AP07</x:v>
      </x:c>
      <x:c r="B13" s="2" t="str">
        <x:v>厨房</x:v>
      </x:c>
      <x:c r="C13" s="13" t="str">
        <x:v>电热水壶</x:v>
      </x:c>
      <x:c r="D13" s="13"/>
      <x:c r="E13" s="2"/>
      <x:c r="F13" s="21" t="n">
        <x:v>0.18</x:v>
      </x:c>
      <x:c r="G13" s="21" t="n">
        <x:v>0.24</x:v>
      </x:c>
      <x:c r="H13" s="21" t="n">
        <x:v>0.28</x:v>
      </x:c>
      <x:c r="I13" s="27"/>
      <x:c r="J13" s="27"/>
      <x:c r="K13" s="27"/>
      <x:c r="L13" s="13" t="str">
        <x:v>右侧台面小家电示意，插座及蒸汽影响待定。</x:v>
      </x:c>
      <x:c r="M13" s="2"/>
      <x:c r="N13" s="2" t="str">
        <x:v>appliance-schedule.json /equipment/6/proposal_size_m；appliance-schedule.json /equipment/6/actual_dimensions_m；appliance-schedule.json /equipment/6/actual_model；appliance-schedule.json /equipment/6/brand；appliance-schedule.json /equipment/6/status；appliance-schedule.json /equipment/6/notes</x:v>
      </x:c>
    </x:row>
    <x:row r="14" ht="83" customHeight="1">
      <x:c r="A14" s="12" t="str">
        <x:v>AP08</x:v>
      </x:c>
      <x:c r="B14" s="12" t="str">
        <x:v>卫生间A</x:v>
      </x:c>
      <x:c r="C14" s="14" t="str">
        <x:v>三筒洗衣机ProMax</x:v>
      </x:c>
      <x:c r="D14" s="14" t="str">
        <x:v>XQGL125-MBLDE697WU1</x:v>
      </x:c>
      <x:c r="E14" s="12" t="str">
        <x:v>Leader</x:v>
      </x:c>
      <x:c r="F14" s="22" t="n">
        <x:v>0.6</x:v>
      </x:c>
      <x:c r="G14" s="22" t="n">
        <x:v>0.57</x:v>
      </x:c>
      <x:c r="H14" s="22" t="n">
        <x:v>1.07</x:v>
      </x:c>
      <x:c r="I14" s="27"/>
      <x:c r="J14" s="27"/>
      <x:c r="K14" s="27"/>
      <x:c r="L14" s="14" t="str">
        <x:v>V10按最新标注移到A南墙；单台白色三筒本机尺寸未改，门开启/管线和厂家安装待核。</x:v>
      </x:c>
      <x:c r="M14" s="2"/>
      <x:c r="N14" s="2" t="str">
        <x:v>appliance-schedule.json /equipment/7/proposal_size_m；appliance-schedule.json /equipment/7/actual_dimensions_m；appliance-schedule.json /equipment/7/actual_model；appliance-schedule.json /equipment/7/brand；appliance-schedule.json /equipment/7/status；appliance-schedule.json /equipment/7/notes；appliance-schedule.json /equipment/7/manufacturer_declared_body_size_m；appliance-schedule.json /equipment/7/manufacturer_declared_max_size_m；appliance-schedule.json /equipment/7/screenshot_installation_reserve_m</x:v>
      </x:c>
    </x:row>
    <x:row r="15" ht="83" customHeight="1">
      <x:c r="A15" s="2" t="str">
        <x:v>AP10</x:v>
      </x:c>
      <x:c r="B15" s="2" t="str">
        <x:v>书房A/衣帽间</x:v>
      </x:c>
      <x:c r="C15" s="13" t="str">
        <x:v>书房壁挂机</x:v>
      </x:c>
      <x:c r="D15" s="13"/>
      <x:c r="E15" s="2"/>
      <x:c r="F15" s="21" t="n">
        <x:v>0.88</x:v>
      </x:c>
      <x:c r="G15" s="21" t="n">
        <x:v>0.22</x:v>
      </x:c>
      <x:c r="H15" s="21" t="n">
        <x:v>0.285</x:v>
      </x:c>
      <x:c r="I15" s="27"/>
      <x:c r="J15" s="27"/>
      <x:c r="K15" s="27"/>
      <x:c r="L15" s="13" t="str">
        <x:v>壁挂机设计预留，离开窗帘盒及柜顶；冷媒/冷凝水线路、安装承载和气流需现场确认，未选型号功率。</x:v>
      </x:c>
      <x:c r="M15" s="2"/>
      <x:c r="N15" s="2" t="str">
        <x:v>appliance-schedule.json /equipment/8/proposal_size_m；appliance-schedule.json /equipment/8/actual_dimensions_m；appliance-schedule.json /equipment/8/actual_model；appliance-schedule.json /equipment/8/brand；appliance-schedule.json /equipment/8/status；appliance-schedule.json /equipment/8/notes</x:v>
      </x:c>
    </x:row>
    <x:row r="16" ht="83" customHeight="1">
      <x:c r="A16" s="12" t="str">
        <x:v>AP11</x:v>
      </x:c>
      <x:c r="B16" s="12" t="str">
        <x:v>南次卧B</x:v>
      </x:c>
      <x:c r="C16" s="14" t="str">
        <x:v>卧室B壁挂机</x:v>
      </x:c>
      <x:c r="D16" s="14"/>
      <x:c r="E16" s="12"/>
      <x:c r="F16" s="22" t="n">
        <x:v>0.88</x:v>
      </x:c>
      <x:c r="G16" s="22" t="n">
        <x:v>0.22</x:v>
      </x:c>
      <x:c r="H16" s="22" t="n">
        <x:v>0.285</x:v>
      </x:c>
      <x:c r="I16" s="27"/>
      <x:c r="J16" s="27"/>
      <x:c r="K16" s="27"/>
      <x:c r="L16" s="14" t="str">
        <x:v>壁挂机设计预留，离开窗帘盒及柜顶；冷媒/冷凝水线路、安装承载和气流需现场确认，未选型号功率。</x:v>
      </x:c>
      <x:c r="M16" s="2"/>
      <x:c r="N16" s="2" t="str">
        <x:v>appliance-schedule.json /equipment/9/proposal_size_m；appliance-schedule.json /equipment/9/actual_dimensions_m；appliance-schedule.json /equipment/9/actual_model；appliance-schedule.json /equipment/9/brand；appliance-schedule.json /equipment/9/status；appliance-schedule.json /equipment/9/notes</x:v>
      </x:c>
    </x:row>
    <x:row r="17" ht="83" customHeight="1">
      <x:c r="A17" s="2" t="str">
        <x:v>AP12</x:v>
      </x:c>
      <x:c r="B17" s="2" t="str">
        <x:v>南主卧C</x:v>
      </x:c>
      <x:c r="C17" s="13" t="str">
        <x:v>主卧壁挂机</x:v>
      </x:c>
      <x:c r="D17" s="13"/>
      <x:c r="E17" s="2"/>
      <x:c r="F17" s="21" t="n">
        <x:v>0.88</x:v>
      </x:c>
      <x:c r="G17" s="21" t="n">
        <x:v>0.22</x:v>
      </x:c>
      <x:c r="H17" s="21" t="n">
        <x:v>0.285</x:v>
      </x:c>
      <x:c r="I17" s="27"/>
      <x:c r="J17" s="27"/>
      <x:c r="K17" s="27"/>
      <x:c r="L17" s="13" t="str">
        <x:v>壁挂机设计预留，离开窗帘盒及柜顶；冷媒/冷凝水线路、安装承载和气流需现场确认，未选型号功率。</x:v>
      </x:c>
      <x:c r="M17" s="2"/>
      <x:c r="N17" s="2" t="str">
        <x:v>appliance-schedule.json /equipment/10/proposal_size_m；appliance-schedule.json /equipment/10/actual_dimensions_m；appliance-schedule.json /equipment/10/actual_model；appliance-schedule.json /equipment/10/brand；appliance-schedule.json /equipment/10/status；appliance-schedule.json /equipment/10/notes</x:v>
      </x:c>
    </x:row>
    <x:row r="18" ht="83" customHeight="1">
      <x:c r="A18" s="12" t="str">
        <x:v>AP13</x:v>
      </x:c>
      <x:c r="B18" s="12" t="str">
        <x:v>客厅</x:v>
      </x:c>
      <x:c r="C18" s="14" t="str">
        <x:v>客厅柜式空调</x:v>
      </x:c>
      <x:c r="D18" s="14"/>
      <x:c r="E18" s="12"/>
      <x:c r="F18" s="22" t="n">
        <x:v>0.42</x:v>
      </x:c>
      <x:c r="G18" s="22" t="n">
        <x:v>0.39</x:v>
      </x:c>
      <x:c r="H18" s="22" t="n">
        <x:v>1.8</x:v>
      </x:c>
      <x:c r="I18" s="27"/>
      <x:c r="J18" s="27"/>
      <x:c r="K18" s="27"/>
      <x:c r="L18" s="14" t="str">
        <x:v>客厅东南实墙角预留柜机，避开南窗、电视低柜；制冷量、服务间隙、冷媒和冷凝水线路未选型。</x:v>
      </x:c>
      <x:c r="M18" s="2"/>
      <x:c r="N18" s="2" t="str">
        <x:v>appliance-schedule.json /equipment/11/proposal_size_m；appliance-schedule.json /equipment/11/actual_dimensions_m；appliance-schedule.json /equipment/11/actual_model；appliance-schedule.json /equipment/11/brand；appliance-schedule.json /equipment/11/status；appliance-schedule.json /equipment/11/notes</x:v>
      </x:c>
    </x:row>
    <x:row r="19" ht="83" customHeight="1">
      <x:c r="A19" s="2" t="str">
        <x:v>AP14</x:v>
      </x:c>
      <x:c r="B19" s="2" t="str">
        <x:v>客厅</x:v>
      </x:c>
      <x:c r="C19" s="13" t="str">
        <x:v>客厅壁挂电视</x:v>
      </x:c>
      <x:c r="D19" s="13"/>
      <x:c r="E19" s="2"/>
      <x:c r="F19" s="21" t="n">
        <x:v>1.28</x:v>
      </x:c>
      <x:c r="G19" s="21" t="n">
        <x:v>0.04</x:v>
      </x:c>
      <x:c r="H19" s="21" t="n">
        <x:v>0.73</x:v>
      </x:c>
      <x:c r="I19" s="27"/>
      <x:c r="J19" s="27"/>
      <x:c r="K19" s="27"/>
      <x:c r="L19" s="13" t="str">
        <x:v>保留原Media_wall_panel机身位置，补薄边框、屏幕、指示灯及接口示意；实际型号、插座及挂架待定。</x:v>
      </x:c>
      <x:c r="M19" s="2"/>
      <x:c r="N19" s="2" t="str">
        <x:v>appliance-schedule.json /equipment/12/proposal_size_m；appliance-schedule.json /equipment/12/actual_dimensions_m；appliance-schedule.json /equipment/12/actual_model；appliance-schedule.json /equipment/12/brand；appliance-schedule.json /equipment/12/status；appliance-schedule.json /equipment/12/notes</x:v>
      </x:c>
    </x:row>
    <x:row r="20" ht="83" customHeight="1">
      <x:c r="A20" s="12" t="str">
        <x:v>AP15</x:v>
      </x:c>
      <x:c r="B20" s="12" t="str">
        <x:v>书房A/衣帽间</x:v>
      </x:c>
      <x:c r="C20" s="14" t="str">
        <x:v>书房双屏电脑设备</x:v>
      </x:c>
      <x:c r="D20" s="14"/>
      <x:c r="E20" s="12"/>
      <x:c r="F20" s="22" t="n">
        <x:v>2.6</x:v>
      </x:c>
      <x:c r="G20" s="22" t="n">
        <x:v>0.64</x:v>
      </x:c>
      <x:c r="H20" s="22" t="n">
        <x:v>0.45</x:v>
      </x:c>
      <x:c r="I20" s="27"/>
      <x:c r="J20" s="27"/>
      <x:c r="K20" s="27"/>
      <x:c r="L20" s="14" t="str">
        <x:v>保留原显示器、键盘、鼠标和机箱位置，补显示界面、键帽和机箱风口；品牌及配置未指定。</x:v>
      </x:c>
      <x:c r="M20" s="2"/>
      <x:c r="N20" s="2" t="str">
        <x:v>appliance-schedule.json /equipment/13/proposal_size_m；appliance-schedule.json /equipment/13/actual_dimensions_m；appliance-schedule.json /equipment/13/actual_model；appliance-schedule.json /equipment/13/brand；appliance-schedule.json /equipment/13/status；appliance-schedule.json /equipment/13/notes</x:v>
      </x:c>
    </x:row>
    <x:row r="21" ht="27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7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7" customHeight="1">
      <x:c r="A23" s="28" t="str">
        <x:v>三筒洗衣机的三个尺寸口径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38" customHeight="1">
      <x:c r="A24" s="11" t="str">
        <x:v>尺寸口径</x:v>
      </x:c>
      <x:c r="B24" s="11" t="str">
        <x:v>宽（mm）</x:v>
      </x:c>
      <x:c r="C24" s="11" t="str">
        <x:v>深（mm）</x:v>
      </x:c>
      <x:c r="D24" s="11" t="str">
        <x:v>高（mm）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48" customHeight="1">
      <x:c r="A25" s="13" t="str">
        <x:v>截图机身（不含门）</x:v>
      </x:c>
      <x:c r="B25" s="2" t="n">
        <x:v>600</x:v>
      </x:c>
      <x:c r="C25" s="2" t="n">
        <x:v>570</x:v>
      </x:c>
      <x:c r="D25" s="2" t="n">
        <x:v>1070</x:v>
      </x:c>
      <x:c r="E25" s="2"/>
      <x:c r="F25" s="2" t="str">
        <x:v>这三组都不是现场柜口验收尺寸；需厂家说明及门开启、管路与检修复核。</x:v>
      </x:c>
      <x:c r="G25" s="2"/>
      <x:c r="H25" s="2"/>
      <x:c r="I25" s="2"/>
      <x:c r="J25" s="2"/>
      <x:c r="K25" s="2"/>
      <x:c r="L25" s="2"/>
      <x:c r="M25" s="2"/>
      <x:c r="N25" s="2"/>
    </x:row>
    <x:row r="26" ht="48" customHeight="1">
      <x:c r="A26" s="13" t="str">
        <x:v>厂家最大外形（含门）</x:v>
      </x:c>
      <x:c r="B26" s="2" t="n">
        <x:v>600</x:v>
      </x:c>
      <x:c r="C26" s="2" t="n">
        <x:v>595</x:v>
      </x:c>
      <x:c r="D26" s="2" t="n">
        <x:v>1070</x:v>
      </x:c>
      <x:c r="E26" s="2"/>
      <x:c r="F26" s="2" t="str">
        <x:v>来源：appliance-schedule.json /equipment/7，按三个字段原值列示。</x:v>
      </x:c>
      <x:c r="G26" s="2"/>
      <x:c r="H26" s="2"/>
      <x:c r="I26" s="2"/>
      <x:c r="J26" s="2"/>
      <x:c r="K26" s="2"/>
      <x:c r="L26" s="2"/>
      <x:c r="M26" s="2"/>
      <x:c r="N26" s="2"/>
    </x:row>
    <x:row r="27" ht="48" customHeight="1">
      <x:c r="A27" s="13" t="str">
        <x:v>截图安装预留参考</x:v>
      </x:c>
      <x:c r="B27" s="2" t="n">
        <x:v>630</x:v>
      </x:c>
      <x:c r="C27" s="2" t="n">
        <x:v>600</x:v>
      </x:c>
      <x:c r="D27" s="2" t="n">
        <x:v>1090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7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</x:sheetData>
  <x:pageMargins left="0.7" right="0.7" top="0.75" bottom="0.75" header="0.3" footer="0.3"/>
</x:worksheet>
</file>